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atacoes 2026" sheetId="1" state="visible" r:id="rId3"/>
    <sheet name="Itens 013 e 016" sheetId="2" state="visible" r:id="rId4"/>
    <sheet name="Acumulado por CNAE" sheetId="3" state="visible" r:id="rId5"/>
    <sheet name="Itens em estud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<sst xmlns="http://schemas.openxmlformats.org/spreadsheetml/2006/main" count="395" uniqueCount="223">
  <si>
    <t xml:space="preserve">#</t>
  </si>
  <si>
    <t xml:space="preserve">Processo / Modalidade</t>
  </si>
  <si>
    <t xml:space="preserve">Fundamento legal</t>
  </si>
  <si>
    <t xml:space="preserve">Objeto</t>
  </si>
  <si>
    <t xml:space="preserve">Fornecedor</t>
  </si>
  <si>
    <t xml:space="preserve">Valor (R$)</t>
  </si>
  <si>
    <t xml:space="preserve">Situacao</t>
  </si>
  <si>
    <t xml:space="preserve">CNAE (subclasse)</t>
  </si>
  <si>
    <t xml:space="preserve">Descricao CNAE</t>
  </si>
  <si>
    <t xml:space="preserve">Conta p/ limite art.75 I/II?</t>
  </si>
  <si>
    <t xml:space="preserve">Exercicio</t>
  </si>
  <si>
    <t xml:space="preserve">Fonte / Observacao</t>
  </si>
  <si>
    <t xml:space="preserve">Dispensa 001/2026 (presumida)</t>
  </si>
  <si>
    <t xml:space="preserve">Art. 75, II (presumido)</t>
  </si>
  <si>
    <t xml:space="preserve">Aquisicao de certificados digitais (e-CPF e e-CNPJ, modelo A1, ICP-Brasil)</t>
  </si>
  <si>
    <t xml:space="preserve">Imperio Certificado Digital LTDA (menor preco: R$ 79,00/certificado)</t>
  </si>
  <si>
    <t xml:space="preserve">Propostas recebidas - SEM ratificacao/homologacao nos autos (nao e possivel afirmar concluido)</t>
  </si>
  <si>
    <t xml:space="preserve">63.19-4/00</t>
  </si>
  <si>
    <t xml:space="preserve">Portais, provedores de conteudo e outros servicos de informacao na internet (subclasse que abrange registro/cadastramento de usuarios para certificacao digital)</t>
  </si>
  <si>
    <t xml:space="preserve">A confirmar (depende de ratificacao)</t>
  </si>
  <si>
    <t xml:space="preserve">PROPOSTAS/IMPERIO CERTIFICADOS - e-CPF R$79,00 + e-CNPJ R$79,00 = R$158,00. Proposta concorrente (Confianca) ofertou R$200,00.</t>
  </si>
  <si>
    <t xml:space="preserve">Processo 002/2026 - Dispensa 002/2026</t>
  </si>
  <si>
    <t xml:space="preserve">Art. 75, II</t>
  </si>
  <si>
    <t xml:space="preserve">Locacao de veiculos por diaria (sedan)</t>
  </si>
  <si>
    <t xml:space="preserve">SL Veiculos</t>
  </si>
  <si>
    <t xml:space="preserve">Concluido (ratificado)</t>
  </si>
  <si>
    <t xml:space="preserve">77.11-0/00</t>
  </si>
  <si>
    <t xml:space="preserve">Locacao de automoveis sem condutor</t>
  </si>
  <si>
    <t xml:space="preserve">Sim</t>
  </si>
  <si>
    <t xml:space="preserve">REGISTRO_CONTRATACOES_2026.md #2; ratificado 22/01/2026</t>
  </si>
  <si>
    <t xml:space="preserve">Processo 003/2026 - Inexigibilidade 001/2026</t>
  </si>
  <si>
    <t xml:space="preserve">Art. 74 (inexigibilidade)</t>
  </si>
  <si>
    <t xml:space="preserve">Auditoria contabil/financeira das demonstracoes da ASPPI (2021-2025)</t>
  </si>
  <si>
    <t xml:space="preserve">Nottoria Consultoria e Auditoria LTDA</t>
  </si>
  <si>
    <t xml:space="preserve">Concluido (contrato assinado)</t>
  </si>
  <si>
    <t xml:space="preserve">69.20-6/02</t>
  </si>
  <si>
    <t xml:space="preserve">Atividades de consultoria e auditoria contabil e tributaria</t>
  </si>
  <si>
    <t xml:space="preserve">Nao (inexigibilidade)</t>
  </si>
  <si>
    <t xml:space="preserve">REGISTRO_CONTRATACOES_2026.md #3; 09/02/2026</t>
  </si>
  <si>
    <t xml:space="preserve">Processo 006/2026 - Dispensa 004/2026</t>
  </si>
  <si>
    <t xml:space="preserve">Fornecimento parcelado de generos alimenticios, higiene, limpeza, descartaveis, agua mineral e GLP</t>
  </si>
  <si>
    <t xml:space="preserve">Mercearia Ita Minas + Supermercado Boa Esperanca</t>
  </si>
  <si>
    <t xml:space="preserve">Concluido (valor global multifornecedor a confirmar)</t>
  </si>
  <si>
    <t xml:space="preserve">47.11-3/02</t>
  </si>
  <si>
    <t xml:space="preserve">Comercio varejista de mercadorias em geral, predominancia alimenticia (supermercados) - confirmar porte/enquadramento exato de cada fornecedor</t>
  </si>
  <si>
    <t xml:space="preserve">REGISTRO_CONTRATACOES_2026.md #4; valor exibido e so da Mercearia Ita Minas</t>
  </si>
  <si>
    <t xml:space="preserve">Processo 005/2026 - Dispensa 003/2026</t>
  </si>
  <si>
    <t xml:space="preserve">Aquisicao de materiais de expediente (capas de processo)</t>
  </si>
  <si>
    <t xml:space="preserve">Embacom</t>
  </si>
  <si>
    <t xml:space="preserve">Concluido</t>
  </si>
  <si>
    <t xml:space="preserve">47.61-0/03</t>
  </si>
  <si>
    <t xml:space="preserve">Comercio varejista de artigos de papelaria</t>
  </si>
  <si>
    <t xml:space="preserve">REGISTRO_CONTRATACOES_2026.md #5; 02/03/2026</t>
  </si>
  <si>
    <t xml:space="preserve">Processo 004/2026 - Inexigibilidade 002/2026</t>
  </si>
  <si>
    <t xml:space="preserve">4 inscricoes - 660 Curso de Capacitacao (BH)</t>
  </si>
  <si>
    <t xml:space="preserve">Instituto Global de Administracao Publica</t>
  </si>
  <si>
    <t xml:space="preserve">85.99-6/04</t>
  </si>
  <si>
    <t xml:space="preserve">Treinamento em desenvolvimento profissional e gerencial</t>
  </si>
  <si>
    <t xml:space="preserve">REGISTRO_CONTRATACOES_2026.md #6; 11/02/2026</t>
  </si>
  <si>
    <t xml:space="preserve">Processo 015/2026 - Dispensa 008/2026</t>
  </si>
  <si>
    <t xml:space="preserve">Aquisicao de materiais de expediente (papelaria)</t>
  </si>
  <si>
    <t xml:space="preserve">Agostinho Ribeiro (Bazar Central)</t>
  </si>
  <si>
    <t xml:space="preserve">Concluido (homologado)</t>
  </si>
  <si>
    <t xml:space="preserve">Termo de Adjudicacao e Homologacao anexado pelo usuario - Proc. 015/2026, Dispensa 008/2026, homologado em 17/04/2026. Total do fornecedor: R$ 8.603,80 (17 itens de papelaria).</t>
  </si>
  <si>
    <t xml:space="preserve">Processo 007/2026 - Inexigibilidade 003/2026</t>
  </si>
  <si>
    <t xml:space="preserve">2 inscricoes - 663 Curso de Capacitacao (BH)</t>
  </si>
  <si>
    <t xml:space="preserve">REGISTRO_CONTRATACOES_2026.md #8; 02/03/2026</t>
  </si>
  <si>
    <t xml:space="preserve">Processo 008/2026 - Inexigibilidade 004/2026</t>
  </si>
  <si>
    <t xml:space="preserve">4 inscricoes - 665 Curso de Capacitacao (BH)</t>
  </si>
  <si>
    <t xml:space="preserve">REGISTRO_CONTRATACOES_2026.md #9; 16/03/2026</t>
  </si>
  <si>
    <t xml:space="preserve">Processo 012/2026 - Inexigibilidade 006/2026</t>
  </si>
  <si>
    <t xml:space="preserve">Licenciamento de software p/ coleta de dados e integracao a emissao da CIN</t>
  </si>
  <si>
    <t xml:space="preserve">Valid S.A</t>
  </si>
  <si>
    <t xml:space="preserve">62.03-1/00</t>
  </si>
  <si>
    <t xml:space="preserve">Desenvolvimento e licenciamento de programas de computador nao-customizaveis</t>
  </si>
  <si>
    <t xml:space="preserve">REGISTRO_CONTRATACOES_2026.md #10; 01/04/2026</t>
  </si>
  <si>
    <t xml:space="preserve">Processo 009/2026 - Inexigibilidade 005/2026</t>
  </si>
  <si>
    <t xml:space="preserve">2 inscricoes - curso Parlamento Jovem, Camara Mirim e Educacao Civica</t>
  </si>
  <si>
    <t xml:space="preserve">CEAP - Treinamento Profissional e Gerencial LTDA</t>
  </si>
  <si>
    <t xml:space="preserve">REGISTRO_CONTRATACOES_2026.md #11; 16/03/2026</t>
  </si>
  <si>
    <t xml:space="preserve">Processo 010/2026 - Dispensa 005/2026</t>
  </si>
  <si>
    <t xml:space="preserve">Placas de homenagem em aco inox (premio Honra ao Merito da Mulher Elza Carneiro)</t>
  </si>
  <si>
    <t xml:space="preserve">Flash Placas e Luminosos LTDA</t>
  </si>
  <si>
    <t xml:space="preserve">32.99-0/03</t>
  </si>
  <si>
    <t xml:space="preserve">Fabricacao de letras, letreiros e placas de qualquer material, exceto luminosos</t>
  </si>
  <si>
    <t xml:space="preserve">REGISTRO_CONTRATACOES_2026.md #12; 24/03/2026</t>
  </si>
  <si>
    <t xml:space="preserve">Processo 011/2026 - Dispensa 006/2026</t>
  </si>
  <si>
    <t xml:space="preserve">Refis de tinta originais Epson (impressoras L4260)</t>
  </si>
  <si>
    <t xml:space="preserve">Fornecedor CNPJ 04.431.264/0001-50</t>
  </si>
  <si>
    <t xml:space="preserve">47.51-2/01</t>
  </si>
  <si>
    <t xml:space="preserve">Comercio varejista especializado de equipamentos e suprimentos de informatica</t>
  </si>
  <si>
    <t xml:space="preserve">REGISTRO_CONTRATACOES_2026.md #13; 30/03/2026</t>
  </si>
  <si>
    <t xml:space="preserve">Processo 013/2026 - Dispensa 007/2026</t>
  </si>
  <si>
    <t xml:space="preserve">Equipamentos de TI e audiovisual (so ABR Acessorios ofertou; GL Tech nao ofertou nenhum item - valor final = R$0,00 desse fornecedor)</t>
  </si>
  <si>
    <t xml:space="preserve">ABR Acessorios LTDA</t>
  </si>
  <si>
    <t xml:space="preserve">Concluido (homologado 05/05/2026)</t>
  </si>
  <si>
    <t xml:space="preserve">Multi-CNAE - ver aba Itens 013 e 016</t>
  </si>
  <si>
    <t xml:space="preserve">Objeto composto por 3 itens: 47.51-2/01 (informatica) e 47.53-9/00 (audio/video). Detalhamento item a item na aba dedicada.</t>
  </si>
  <si>
    <t xml:space="preserve">Nao (somado por item na aba de detalhamento, p/ evitar contagem duplicada)</t>
  </si>
  <si>
    <t xml:space="preserve">Homologacao.pdf (013/2026) lida linha a linha - GL Tech: todos os itens Nao Ofertados (V.Total=0,00); ABR Acessorios: 3 itens, total R$15.732,52</t>
  </si>
  <si>
    <t xml:space="preserve">Processo 014/2026 - Inexigibilidade 007/2026</t>
  </si>
  <si>
    <t xml:space="preserve">3 inscricoes - curso Responsabilidade Criminal de Prefeitos e Vereadores</t>
  </si>
  <si>
    <t xml:space="preserve">REGISTRO_CONTRATACOES_2026.md #15; 13/04/2026</t>
  </si>
  <si>
    <t xml:space="preserve">Processo 016/2026 - Dispensa 009/2026</t>
  </si>
  <si>
    <t xml:space="preserve">Equipamentos e acessorios de TI, audio, video, sonorizacao, rede e producao audiovisual (republicacao)</t>
  </si>
  <si>
    <t xml:space="preserve">12 fornecedores distintos (ver aba de detalhamento)</t>
  </si>
  <si>
    <t xml:space="preserve">Concluido (homologado 01/06/2026)</t>
  </si>
  <si>
    <t xml:space="preserve">25 itens adjudicados a 12 fornecedores; mescla de informatica/rede (47.51-2/01), eletrico (47.42-3/00), audio/video (47.53-9/00), telefonia (47.52-1/00) e fotografia/filmagem (47.89-0/08). Detalhamento item a item na aba dedicada.</t>
  </si>
  <si>
    <t xml:space="preserve">Homologacao.pdf (016/2026) lida linha a linha, 1 item Nao Ofertado excluido (V.Total=0,00)</t>
  </si>
  <si>
    <t xml:space="preserve">Processo 019/2026 - Dispensa 06/2026</t>
  </si>
  <si>
    <t xml:space="preserve">9 suportes para tablets (votacao eletronica)</t>
  </si>
  <si>
    <t xml:space="preserve">Breno Leandro Lopes (MEI)</t>
  </si>
  <si>
    <t xml:space="preserve">REGISTRO_CONTRATACOES_2026.md #17; 08/06/2026</t>
  </si>
  <si>
    <t xml:space="preserve">Processo 018/2026 - Inexigibilidade 009/2026</t>
  </si>
  <si>
    <t xml:space="preserve">Consultoria juridica a Mesa Diretora / Comissao Processante</t>
  </si>
  <si>
    <t xml:space="preserve">Souza Duarte Sociedade Individual de Advocacia</t>
  </si>
  <si>
    <t xml:space="preserve">Concluido (contrato) - valor max. estimado</t>
  </si>
  <si>
    <t xml:space="preserve">69.11-7/01</t>
  </si>
  <si>
    <t xml:space="preserve">Servicos advocaticios</t>
  </si>
  <si>
    <t xml:space="preserve">REGISTRO_CONTRATACOES_2026.md #19 - proposta R$15.000/mes + R$20.000 adicional; ate R$50.000,00</t>
  </si>
  <si>
    <t xml:space="preserve">Processo 017/2026 - Inexigibilidade 008/2026</t>
  </si>
  <si>
    <t xml:space="preserve">2 inscricoes em curso de capacitacao p/ vereadores</t>
  </si>
  <si>
    <t xml:space="preserve">Instituto Global de Administracao Publica LTDA</t>
  </si>
  <si>
    <t xml:space="preserve">REGISTRO_CONTRATACOES_2026.md #20</t>
  </si>
  <si>
    <t xml:space="preserve">Processo 020/2026 - Dispensa 11/2026</t>
  </si>
  <si>
    <t xml:space="preserve">Fabricacao e instalacao de claraboia (telha translucida/policarbonato)</t>
  </si>
  <si>
    <t xml:space="preserve">Calha Box</t>
  </si>
  <si>
    <t xml:space="preserve">43.30-4/99</t>
  </si>
  <si>
    <t xml:space="preserve">Outras obras de acabamento da construcao (classificacao provavel - confirmar no CONCLA se atividade predominante e fabricacao (22.29-3/03) ou instalacao (43.30-4/99))</t>
  </si>
  <si>
    <t xml:space="preserve">CONTROLE_CONTRATACOES.md + REGISTRO_CONTRATACOES_2026.md #21; Orcamento 000362, 27/05/2026</t>
  </si>
  <si>
    <t xml:space="preserve">PA 023/2026 - Dispensa 12/2026</t>
  </si>
  <si>
    <t xml:space="preserve">Recarga e manutencao de 2 extintores de incendio (CO2 6kg + AP 10L)</t>
  </si>
  <si>
    <t xml:space="preserve">Extinsul LTDA</t>
  </si>
  <si>
    <t xml:space="preserve">33.14-7/10</t>
  </si>
  <si>
    <t xml:space="preserve">Manutencao e reparacao de maquinas e equipamentos nao especificados anteriormente (inclui extintores) - alternativa: 82.99-7/99</t>
  </si>
  <si>
    <t xml:space="preserve">08_processos_em_andamento/2026/24_DISPENSA_EXTINTORES; homologado ~29/06/2026</t>
  </si>
  <si>
    <t xml:space="preserve">Nota: os itens aquisicao de cadeiras, internet fibra redundante e micro-ondas da copa NAO constam desta tabela porque, conforme confirmado pelo usuario, ainda nao se tornaram processo licitatorio real (sem numero de processo, sem dispensa formalizada e, no caso de cadeiras, sem qualquer documento nos autos). Ver aba Itens em estudo (nao e processo).</t>
  </si>
  <si>
    <t xml:space="preserve">Processo</t>
  </si>
  <si>
    <t xml:space="preserve">Item n</t>
  </si>
  <si>
    <t xml:space="preserve">Descricao resumida</t>
  </si>
  <si>
    <t xml:space="preserve">Qtde</t>
  </si>
  <si>
    <t xml:space="preserve">V. Unit. (R$)</t>
  </si>
  <si>
    <t xml:space="preserve">V. Total (R$)</t>
  </si>
  <si>
    <t xml:space="preserve">013/2026</t>
  </si>
  <si>
    <t xml:space="preserve">Tablet 10pol (10 unidades)</t>
  </si>
  <si>
    <t xml:space="preserve">Caixa Acustica Ativa Tipo Coluna (2 unidades)</t>
  </si>
  <si>
    <t xml:space="preserve">47.53-9/00</t>
  </si>
  <si>
    <t xml:space="preserve">Comercio varejista especializado de eletrodomesticos e equipamentos de audio e video</t>
  </si>
  <si>
    <t xml:space="preserve">Switch de Rede 16 Portas Gigabit L2</t>
  </si>
  <si>
    <t xml:space="preserve">016/2026</t>
  </si>
  <si>
    <t xml:space="preserve">Suporte fixo de parede para TV (VESA)</t>
  </si>
  <si>
    <t xml:space="preserve">Antomig Solucoes Informatica LTDA</t>
  </si>
  <si>
    <t xml:space="preserve">Combo teclado e mouse sem fio</t>
  </si>
  <si>
    <t xml:space="preserve">HM Informatica LTDA</t>
  </si>
  <si>
    <t xml:space="preserve">Cabo de rede UTP CAT6 (305m)</t>
  </si>
  <si>
    <t xml:space="preserve">GWC Industria, Importacao e Distribuicao de Eletronicos LTDA</t>
  </si>
  <si>
    <t xml:space="preserve">Conector RJ45 macho CAT6 blindado</t>
  </si>
  <si>
    <t xml:space="preserve">Painel de fechamento 1U p/ rack</t>
  </si>
  <si>
    <t xml:space="preserve">Incotech Company LTDA</t>
  </si>
  <si>
    <t xml:space="preserve">Guia de cabos horizontal 1U p/ rack</t>
  </si>
  <si>
    <t xml:space="preserve">Rubens Dias da Cunha</t>
  </si>
  <si>
    <t xml:space="preserve">Bandeja fixa 1U p/ rack</t>
  </si>
  <si>
    <t xml:space="preserve">Kit de fixacao p/ rack (porca-gaiola e parafusos)</t>
  </si>
  <si>
    <t xml:space="preserve">Regua de tomadas (PDU) p/ rack</t>
  </si>
  <si>
    <t xml:space="preserve">47.42-3/00</t>
  </si>
  <si>
    <t xml:space="preserve">Comercio varejista de material eletrico</t>
  </si>
  <si>
    <t xml:space="preserve">Smart TV 65pol 4K</t>
  </si>
  <si>
    <t xml:space="preserve">Comercial Cenira LTDA</t>
  </si>
  <si>
    <t xml:space="preserve">Monitor profissional 27pol</t>
  </si>
  <si>
    <t xml:space="preserve">Console de mixagem digital 24 canais</t>
  </si>
  <si>
    <t xml:space="preserve">Evandro Zacaroni Pedroso ME</t>
  </si>
  <si>
    <t xml:space="preserve">Microfone gooseneck sem fio, base 4 canais</t>
  </si>
  <si>
    <t xml:space="preserve">Rocas Produtos de Informatica e Servicos LTDA ME</t>
  </si>
  <si>
    <t xml:space="preserve">Microfone gooseneck sem fio, base 2 canais</t>
  </si>
  <si>
    <t xml:space="preserve">Carvalho Miranda Equipamentos LTDA</t>
  </si>
  <si>
    <t xml:space="preserve">Rack servidor 16U</t>
  </si>
  <si>
    <t xml:space="preserve">Distribuidor de energia c/ voltimetro p/ rack</t>
  </si>
  <si>
    <t xml:space="preserve">Access Point Wi-Fi 6 corporativo</t>
  </si>
  <si>
    <t xml:space="preserve">Roteador VPN Gigabit Multi-WAN</t>
  </si>
  <si>
    <t xml:space="preserve">Fonte injetora PoE+ Gigabit</t>
  </si>
  <si>
    <t xml:space="preserve">Mini rack de parede 20U</t>
  </si>
  <si>
    <t xml:space="preserve">Vitor Alfredo Thomas LTDA</t>
  </si>
  <si>
    <t xml:space="preserve">Smartphone iPhone 17 Pro Max 256GB</t>
  </si>
  <si>
    <t xml:space="preserve">Christian Pimentel de Camargo ME</t>
  </si>
  <si>
    <t xml:space="preserve">47.52-1/00</t>
  </si>
  <si>
    <t xml:space="preserve">Comercio varejista especializado de equipamentos de telefonia e comunicacao</t>
  </si>
  <si>
    <t xml:space="preserve">Gaiola estabilizadora p/ smartphone</t>
  </si>
  <si>
    <t xml:space="preserve">47.89-0/08</t>
  </si>
  <si>
    <t xml:space="preserve">Comercio varejista de artigos fotograficos e para filmagem</t>
  </si>
  <si>
    <t xml:space="preserve">Iluminador portatil LED RGB p/ foto/video</t>
  </si>
  <si>
    <t xml:space="preserve">Microfone de lapela sem fio</t>
  </si>
  <si>
    <t xml:space="preserve">Neocam Tecnologia Seguranca e Servicos LTDA</t>
  </si>
  <si>
    <t xml:space="preserve">Total:</t>
  </si>
  <si>
    <t xml:space="preserve">Item Nao Ofertado (V.Total = 0,00) de cada Homologacao foi excluido por nao representar despesa efetiva: item 1 (suporte de TV 60pol) do lote GL Tech no proc. 013/2026, e item 10 (kit eletrico) no proc. 016/2026. Console de mixagem e microfones profissionais foram classificados em 47.53-9/00 por analogia a equipamento de audio; ha entendimento alternativo que os enquadraria em comercio varejista de instrumentos musicais e acessorios (classe correlata) - recomenda-se confirmacao pontual no CONCLA se o valor acumulado desta subclasse se aproximar do limite.</t>
  </si>
  <si>
    <t xml:space="preserve">Descricao</t>
  </si>
  <si>
    <t xml:space="preserve">Total acumulado 2026 (R$)</t>
  </si>
  <si>
    <t xml:space="preserve">Limite vigente inciso II (R$)</t>
  </si>
  <si>
    <t xml:space="preserve">Saldo ate o limite (R$)</t>
  </si>
  <si>
    <t xml:space="preserve">Alerta</t>
  </si>
  <si>
    <t xml:space="preserve">Comercio varejista de mercadorias em geral (supermercados)</t>
  </si>
  <si>
    <t xml:space="preserve">Fabricacao de letras, letreiros e placas</t>
  </si>
  <si>
    <t xml:space="preserve">Comercio varejista de equip. e suprimentos de informatica</t>
  </si>
  <si>
    <t xml:space="preserve">Comercio varejista de eletrodomesticos e equip. de audio/video</t>
  </si>
  <si>
    <t xml:space="preserve">Comercio varejista de equip. de telefonia e comunicacao</t>
  </si>
  <si>
    <t xml:space="preserve">Outras obras de acabamento da construcao (claraboia - confirmar)</t>
  </si>
  <si>
    <t xml:space="preserve">Manutencao e reparacao de maquinas/equipamentos (extintores)</t>
  </si>
  <si>
    <t xml:space="preserve">Portais/servicos de informacao (certificacao digital) - SEM ratificacao</t>
  </si>
  <si>
    <t xml:space="preserve">Nota: limite de R$ 65.492,11 (inciso II) citado nos autos com base no Decreto no 12.807/2025, exercicio 2026. O arquivo 01_legislacao/limites-vigentes-dispensa-art-75.md ainda esta com o valor oficial marcado como [CONFIRMAR] - validar antes de qualquer decisao formal. A linha 63.19-4/00 (certificado digital) aparece zerada de proposito: o processo (R$158,00, Imperio Certificados) ainda nao foi ratificado/homologado, entao nao entra no acumulado ate ser formalizado - adicione manualmente se e quando o processo for concluido. Inexigibilidades (art. 74) tambem nao entram nesta soma por nao se sujeitarem ao limite do art. 75, I/II.</t>
  </si>
  <si>
    <t xml:space="preserve">Item</t>
  </si>
  <si>
    <t xml:space="preserve">Documentos existentes</t>
  </si>
  <si>
    <t xml:space="preserve">CNAE provavel (se/quando virar processo)</t>
  </si>
  <si>
    <t xml:space="preserve">Aquisicao de cadeiras</t>
  </si>
  <si>
    <t xml:space="preserve">NAO e processo real ainda - sem numero de processo, sem DFD/TR/dispensa nos autos</t>
  </si>
  <si>
    <t xml:space="preserve">Nenhum documento formal (apenas mencao no indice de precedentes)</t>
  </si>
  <si>
    <t xml:space="preserve">47.54-7/01 - Comercio varejista de moveis</t>
  </si>
  <si>
    <t xml:space="preserve">Internet fibra optica redundante (link secundario)</t>
  </si>
  <si>
    <t xml:space="preserve">NAO e processo real ainda - apenas DFD e Termo de Referencia elaborados; sem dispensa aberta, sem pesquisa de precos concluida</t>
  </si>
  <si>
    <t xml:space="preserve">DFD_Internet_Fibra_Redundante_Camara_Itanhandu.docx/.pdf; TR_Internet_Fibra_Redundante_Camara_Itanhandu_final.docx</t>
  </si>
  <si>
    <t xml:space="preserve">61.10-8/03 - Servico de comunicacao multimidia (SCM)</t>
  </si>
  <si>
    <t xml:space="preserve">Micro-ondas para a copa</t>
  </si>
  <si>
    <t xml:space="preserve">NAO e processo real ainda - apenas DFD em elaboracao, com campos [PREENCHER] em aberto</t>
  </si>
  <si>
    <t xml:space="preserve">DFD_Microondas_Copa_2026.docx</t>
  </si>
  <si>
    <t xml:space="preserve">47.53-9/00 - Comercio varejista especializado de eletrodomesticos e equipamentos de audio e video</t>
  </si>
</sst>
</file>

<file path=xl/styles.xml><?xml version="1.0" encoding="utf-8"?>
<styleSheet xmlns="http://schemas.openxmlformats.org/spreadsheetml/2006/main">
  <numFmts count="3">
    <numFmt numFmtId="164" formatCode="General"/>
    <numFmt numFmtId="165" formatCode="#,##0.00;\(#,##0.00\);\-"/>
    <numFmt numFmtId="166" formatCode="#,##0.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i val="true"/>
      <sz val="9"/>
      <name val="Arial"/>
      <family val="0"/>
      <charset val="1"/>
    </font>
    <font>
      <b val="true"/>
      <sz val="11"/>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6"/>
    <col collapsed="false" customWidth="true" hidden="false" outlineLevel="0" max="4" min="4" style="0" width="42"/>
    <col collapsed="false" customWidth="true" hidden="false" outlineLevel="0" max="5" min="5" style="0" width="26"/>
    <col collapsed="false" customWidth="true" hidden="false" outlineLevel="0" max="6" min="6" style="0" width="13"/>
    <col collapsed="false" customWidth="true" hidden="false" outlineLevel="0" max="7" min="7" style="0" width="26"/>
    <col collapsed="false" customWidth="true" hidden="false" outlineLevel="0" max="8" min="8" style="0" width="14"/>
    <col collapsed="false" customWidth="true" hidden="false" outlineLevel="0" max="9" min="9" style="0" width="40"/>
    <col collapsed="false" customWidth="true" hidden="false" outlineLevel="0" max="10" min="10" style="0" width="16"/>
    <col collapsed="false" customWidth="true" hidden="false" outlineLevel="0" max="11" min="11" style="0" width="10"/>
    <col collapsed="false" customWidth="true" hidden="false" outlineLevel="0" max="12" min="12" style="0" width="34"/>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46.25" hidden="false" customHeight="false" outlineLevel="0" collapsed="false">
      <c r="A2" s="2" t="n">
        <v>1</v>
      </c>
      <c r="B2" s="2" t="s">
        <v>12</v>
      </c>
      <c r="C2" s="2" t="s">
        <v>13</v>
      </c>
      <c r="D2" s="2" t="s">
        <v>14</v>
      </c>
      <c r="E2" s="2" t="s">
        <v>15</v>
      </c>
      <c r="F2" s="3" t="n">
        <v>158</v>
      </c>
      <c r="G2" s="2" t="s">
        <v>16</v>
      </c>
      <c r="H2" s="2" t="s">
        <v>17</v>
      </c>
      <c r="I2" s="2" t="s">
        <v>18</v>
      </c>
      <c r="J2" s="2" t="s">
        <v>19</v>
      </c>
      <c r="K2" s="2" t="n">
        <v>2026</v>
      </c>
      <c r="L2" s="2" t="s">
        <v>20</v>
      </c>
    </row>
    <row r="3" customFormat="false" ht="23.85" hidden="false" customHeight="false" outlineLevel="0" collapsed="false">
      <c r="A3" s="2" t="n">
        <v>2</v>
      </c>
      <c r="B3" s="2" t="s">
        <v>21</v>
      </c>
      <c r="C3" s="2" t="s">
        <v>22</v>
      </c>
      <c r="D3" s="2" t="s">
        <v>23</v>
      </c>
      <c r="E3" s="2" t="s">
        <v>24</v>
      </c>
      <c r="F3" s="3" t="n">
        <v>18200</v>
      </c>
      <c r="G3" s="2" t="s">
        <v>25</v>
      </c>
      <c r="H3" s="2" t="s">
        <v>26</v>
      </c>
      <c r="I3" s="2" t="s">
        <v>27</v>
      </c>
      <c r="J3" s="2" t="s">
        <v>28</v>
      </c>
      <c r="K3" s="2" t="n">
        <v>2026</v>
      </c>
      <c r="L3" s="2" t="s">
        <v>29</v>
      </c>
    </row>
    <row r="4" customFormat="false" ht="23.85" hidden="false" customHeight="false" outlineLevel="0" collapsed="false">
      <c r="A4" s="2" t="n">
        <v>3</v>
      </c>
      <c r="B4" s="2" t="s">
        <v>30</v>
      </c>
      <c r="C4" s="2" t="s">
        <v>31</v>
      </c>
      <c r="D4" s="2" t="s">
        <v>32</v>
      </c>
      <c r="E4" s="2" t="s">
        <v>33</v>
      </c>
      <c r="F4" s="3" t="n">
        <v>25000</v>
      </c>
      <c r="G4" s="2" t="s">
        <v>34</v>
      </c>
      <c r="H4" s="2" t="s">
        <v>35</v>
      </c>
      <c r="I4" s="2" t="s">
        <v>36</v>
      </c>
      <c r="J4" s="2" t="s">
        <v>37</v>
      </c>
      <c r="K4" s="2" t="n">
        <v>2026</v>
      </c>
      <c r="L4" s="2" t="s">
        <v>38</v>
      </c>
    </row>
    <row r="5" customFormat="false" ht="46.25" hidden="false" customHeight="false" outlineLevel="0" collapsed="false">
      <c r="A5" s="2" t="n">
        <v>4</v>
      </c>
      <c r="B5" s="2" t="s">
        <v>39</v>
      </c>
      <c r="C5" s="2" t="s">
        <v>22</v>
      </c>
      <c r="D5" s="2" t="s">
        <v>40</v>
      </c>
      <c r="E5" s="2" t="s">
        <v>41</v>
      </c>
      <c r="F5" s="3" t="n">
        <v>21892.75</v>
      </c>
      <c r="G5" s="2" t="s">
        <v>42</v>
      </c>
      <c r="H5" s="2" t="s">
        <v>43</v>
      </c>
      <c r="I5" s="2" t="s">
        <v>44</v>
      </c>
      <c r="J5" s="2" t="s">
        <v>28</v>
      </c>
      <c r="K5" s="2" t="n">
        <v>2026</v>
      </c>
      <c r="L5" s="2" t="s">
        <v>45</v>
      </c>
    </row>
    <row r="6" customFormat="false" ht="23.85" hidden="false" customHeight="false" outlineLevel="0" collapsed="false">
      <c r="A6" s="2" t="n">
        <v>5</v>
      </c>
      <c r="B6" s="2" t="s">
        <v>46</v>
      </c>
      <c r="C6" s="2" t="s">
        <v>22</v>
      </c>
      <c r="D6" s="2" t="s">
        <v>47</v>
      </c>
      <c r="E6" s="2" t="s">
        <v>48</v>
      </c>
      <c r="F6" s="3" t="n">
        <v>5750</v>
      </c>
      <c r="G6" s="2" t="s">
        <v>49</v>
      </c>
      <c r="H6" s="2" t="s">
        <v>50</v>
      </c>
      <c r="I6" s="2" t="s">
        <v>51</v>
      </c>
      <c r="J6" s="2" t="s">
        <v>28</v>
      </c>
      <c r="K6" s="2" t="n">
        <v>2026</v>
      </c>
      <c r="L6" s="2" t="s">
        <v>52</v>
      </c>
    </row>
    <row r="7" customFormat="false" ht="23.85" hidden="false" customHeight="false" outlineLevel="0" collapsed="false">
      <c r="A7" s="2" t="n">
        <v>6</v>
      </c>
      <c r="B7" s="2" t="s">
        <v>53</v>
      </c>
      <c r="C7" s="2" t="s">
        <v>31</v>
      </c>
      <c r="D7" s="2" t="s">
        <v>54</v>
      </c>
      <c r="E7" s="2" t="s">
        <v>55</v>
      </c>
      <c r="F7" s="3" t="n">
        <v>5560</v>
      </c>
      <c r="G7" s="2" t="s">
        <v>49</v>
      </c>
      <c r="H7" s="2" t="s">
        <v>56</v>
      </c>
      <c r="I7" s="2" t="s">
        <v>57</v>
      </c>
      <c r="J7" s="2" t="s">
        <v>37</v>
      </c>
      <c r="K7" s="2" t="n">
        <v>2026</v>
      </c>
      <c r="L7" s="2" t="s">
        <v>58</v>
      </c>
    </row>
    <row r="8" customFormat="false" ht="57.45" hidden="false" customHeight="false" outlineLevel="0" collapsed="false">
      <c r="A8" s="2" t="n">
        <v>7</v>
      </c>
      <c r="B8" s="2" t="s">
        <v>59</v>
      </c>
      <c r="C8" s="2" t="s">
        <v>22</v>
      </c>
      <c r="D8" s="2" t="s">
        <v>60</v>
      </c>
      <c r="E8" s="2" t="s">
        <v>61</v>
      </c>
      <c r="F8" s="3" t="n">
        <v>8603.8</v>
      </c>
      <c r="G8" s="2" t="s">
        <v>62</v>
      </c>
      <c r="H8" s="2" t="s">
        <v>50</v>
      </c>
      <c r="I8" s="2" t="s">
        <v>51</v>
      </c>
      <c r="J8" s="2" t="s">
        <v>28</v>
      </c>
      <c r="K8" s="2" t="n">
        <v>2026</v>
      </c>
      <c r="L8" s="2" t="s">
        <v>63</v>
      </c>
    </row>
    <row r="9" customFormat="false" ht="23.85" hidden="false" customHeight="false" outlineLevel="0" collapsed="false">
      <c r="A9" s="2" t="n">
        <v>8</v>
      </c>
      <c r="B9" s="2" t="s">
        <v>64</v>
      </c>
      <c r="C9" s="2" t="s">
        <v>31</v>
      </c>
      <c r="D9" s="2" t="s">
        <v>65</v>
      </c>
      <c r="E9" s="2" t="s">
        <v>55</v>
      </c>
      <c r="F9" s="3" t="n">
        <v>2780</v>
      </c>
      <c r="G9" s="2" t="s">
        <v>49</v>
      </c>
      <c r="H9" s="2" t="s">
        <v>56</v>
      </c>
      <c r="I9" s="2" t="s">
        <v>57</v>
      </c>
      <c r="J9" s="2" t="s">
        <v>37</v>
      </c>
      <c r="K9" s="2" t="n">
        <v>2026</v>
      </c>
      <c r="L9" s="2" t="s">
        <v>66</v>
      </c>
    </row>
    <row r="10" customFormat="false" ht="23.85" hidden="false" customHeight="false" outlineLevel="0" collapsed="false">
      <c r="A10" s="2" t="n">
        <v>9</v>
      </c>
      <c r="B10" s="2" t="s">
        <v>67</v>
      </c>
      <c r="C10" s="2" t="s">
        <v>31</v>
      </c>
      <c r="D10" s="2" t="s">
        <v>68</v>
      </c>
      <c r="E10" s="2" t="s">
        <v>55</v>
      </c>
      <c r="F10" s="3" t="n">
        <v>5560</v>
      </c>
      <c r="G10" s="2" t="s">
        <v>49</v>
      </c>
      <c r="H10" s="2" t="s">
        <v>56</v>
      </c>
      <c r="I10" s="2" t="s">
        <v>57</v>
      </c>
      <c r="J10" s="2" t="s">
        <v>37</v>
      </c>
      <c r="K10" s="2" t="n">
        <v>2026</v>
      </c>
      <c r="L10" s="2" t="s">
        <v>69</v>
      </c>
    </row>
    <row r="11" customFormat="false" ht="23.85" hidden="false" customHeight="false" outlineLevel="0" collapsed="false">
      <c r="A11" s="2" t="n">
        <v>10</v>
      </c>
      <c r="B11" s="2" t="s">
        <v>70</v>
      </c>
      <c r="C11" s="2" t="s">
        <v>31</v>
      </c>
      <c r="D11" s="2" t="s">
        <v>71</v>
      </c>
      <c r="E11" s="2" t="s">
        <v>72</v>
      </c>
      <c r="F11" s="3" t="n">
        <v>2500</v>
      </c>
      <c r="G11" s="2" t="s">
        <v>49</v>
      </c>
      <c r="H11" s="2" t="s">
        <v>73</v>
      </c>
      <c r="I11" s="2" t="s">
        <v>74</v>
      </c>
      <c r="J11" s="2" t="s">
        <v>37</v>
      </c>
      <c r="K11" s="2" t="n">
        <v>2026</v>
      </c>
      <c r="L11" s="2" t="s">
        <v>75</v>
      </c>
    </row>
    <row r="12" customFormat="false" ht="23.85" hidden="false" customHeight="false" outlineLevel="0" collapsed="false">
      <c r="A12" s="2" t="n">
        <v>11</v>
      </c>
      <c r="B12" s="2" t="s">
        <v>76</v>
      </c>
      <c r="C12" s="2" t="s">
        <v>31</v>
      </c>
      <c r="D12" s="2" t="s">
        <v>77</v>
      </c>
      <c r="E12" s="2" t="s">
        <v>78</v>
      </c>
      <c r="F12" s="3" t="n">
        <v>3980</v>
      </c>
      <c r="G12" s="2" t="s">
        <v>49</v>
      </c>
      <c r="H12" s="2" t="s">
        <v>56</v>
      </c>
      <c r="I12" s="2" t="s">
        <v>57</v>
      </c>
      <c r="J12" s="2" t="s">
        <v>37</v>
      </c>
      <c r="K12" s="2" t="n">
        <v>2026</v>
      </c>
      <c r="L12" s="2" t="s">
        <v>79</v>
      </c>
    </row>
    <row r="13" customFormat="false" ht="23.85" hidden="false" customHeight="false" outlineLevel="0" collapsed="false">
      <c r="A13" s="2" t="n">
        <v>12</v>
      </c>
      <c r="B13" s="2" t="s">
        <v>80</v>
      </c>
      <c r="C13" s="2" t="s">
        <v>22</v>
      </c>
      <c r="D13" s="2" t="s">
        <v>81</v>
      </c>
      <c r="E13" s="2" t="s">
        <v>82</v>
      </c>
      <c r="F13" s="3" t="n">
        <v>2520</v>
      </c>
      <c r="G13" s="2" t="s">
        <v>49</v>
      </c>
      <c r="H13" s="2" t="s">
        <v>83</v>
      </c>
      <c r="I13" s="2" t="s">
        <v>84</v>
      </c>
      <c r="J13" s="2" t="s">
        <v>28</v>
      </c>
      <c r="K13" s="2" t="n">
        <v>2026</v>
      </c>
      <c r="L13" s="2" t="s">
        <v>85</v>
      </c>
    </row>
    <row r="14" customFormat="false" ht="23.85" hidden="false" customHeight="false" outlineLevel="0" collapsed="false">
      <c r="A14" s="2" t="n">
        <v>13</v>
      </c>
      <c r="B14" s="2" t="s">
        <v>86</v>
      </c>
      <c r="C14" s="2" t="s">
        <v>22</v>
      </c>
      <c r="D14" s="2" t="s">
        <v>87</v>
      </c>
      <c r="E14" s="2" t="s">
        <v>88</v>
      </c>
      <c r="F14" s="3" t="n">
        <v>3440</v>
      </c>
      <c r="G14" s="2" t="s">
        <v>49</v>
      </c>
      <c r="H14" s="2" t="s">
        <v>89</v>
      </c>
      <c r="I14" s="2" t="s">
        <v>90</v>
      </c>
      <c r="J14" s="2" t="s">
        <v>28</v>
      </c>
      <c r="K14" s="2" t="n">
        <v>2026</v>
      </c>
      <c r="L14" s="2" t="s">
        <v>91</v>
      </c>
    </row>
    <row r="15" customFormat="false" ht="57.45" hidden="false" customHeight="false" outlineLevel="0" collapsed="false">
      <c r="A15" s="2" t="n">
        <v>14</v>
      </c>
      <c r="B15" s="2" t="s">
        <v>92</v>
      </c>
      <c r="C15" s="2" t="s">
        <v>22</v>
      </c>
      <c r="D15" s="2" t="s">
        <v>93</v>
      </c>
      <c r="E15" s="2" t="s">
        <v>94</v>
      </c>
      <c r="F15" s="3" t="n">
        <v>15732.52</v>
      </c>
      <c r="G15" s="2" t="s">
        <v>95</v>
      </c>
      <c r="H15" s="2" t="s">
        <v>96</v>
      </c>
      <c r="I15" s="2" t="s">
        <v>97</v>
      </c>
      <c r="J15" s="2" t="s">
        <v>98</v>
      </c>
      <c r="K15" s="2" t="n">
        <v>2026</v>
      </c>
      <c r="L15" s="2" t="s">
        <v>99</v>
      </c>
    </row>
    <row r="16" customFormat="false" ht="23.85" hidden="false" customHeight="false" outlineLevel="0" collapsed="false">
      <c r="A16" s="2" t="n">
        <v>15</v>
      </c>
      <c r="B16" s="2" t="s">
        <v>100</v>
      </c>
      <c r="C16" s="2" t="s">
        <v>31</v>
      </c>
      <c r="D16" s="2" t="s">
        <v>101</v>
      </c>
      <c r="E16" s="2" t="s">
        <v>78</v>
      </c>
      <c r="F16" s="3" t="n">
        <v>5970</v>
      </c>
      <c r="G16" s="2" t="s">
        <v>49</v>
      </c>
      <c r="H16" s="2" t="s">
        <v>56</v>
      </c>
      <c r="I16" s="2" t="s">
        <v>57</v>
      </c>
      <c r="J16" s="2" t="s">
        <v>37</v>
      </c>
      <c r="K16" s="2" t="n">
        <v>2026</v>
      </c>
      <c r="L16" s="2" t="s">
        <v>102</v>
      </c>
    </row>
    <row r="17" customFormat="false" ht="57.45" hidden="false" customHeight="false" outlineLevel="0" collapsed="false">
      <c r="A17" s="2" t="n">
        <v>16</v>
      </c>
      <c r="B17" s="2" t="s">
        <v>103</v>
      </c>
      <c r="C17" s="2" t="s">
        <v>22</v>
      </c>
      <c r="D17" s="2" t="s">
        <v>104</v>
      </c>
      <c r="E17" s="2" t="s">
        <v>105</v>
      </c>
      <c r="F17" s="3" t="n">
        <v>33073.95</v>
      </c>
      <c r="G17" s="2" t="s">
        <v>106</v>
      </c>
      <c r="H17" s="2" t="s">
        <v>96</v>
      </c>
      <c r="I17" s="2" t="s">
        <v>107</v>
      </c>
      <c r="J17" s="2" t="s">
        <v>98</v>
      </c>
      <c r="K17" s="2" t="n">
        <v>2026</v>
      </c>
      <c r="L17" s="2" t="s">
        <v>108</v>
      </c>
    </row>
    <row r="18" customFormat="false" ht="23.85" hidden="false" customHeight="false" outlineLevel="0" collapsed="false">
      <c r="A18" s="2" t="n">
        <v>17</v>
      </c>
      <c r="B18" s="2" t="s">
        <v>109</v>
      </c>
      <c r="C18" s="2" t="s">
        <v>22</v>
      </c>
      <c r="D18" s="2" t="s">
        <v>110</v>
      </c>
      <c r="E18" s="2" t="s">
        <v>111</v>
      </c>
      <c r="F18" s="3" t="n">
        <v>2195.91</v>
      </c>
      <c r="G18" s="2" t="s">
        <v>49</v>
      </c>
      <c r="H18" s="2" t="s">
        <v>89</v>
      </c>
      <c r="I18" s="2" t="s">
        <v>90</v>
      </c>
      <c r="J18" s="2" t="s">
        <v>28</v>
      </c>
      <c r="K18" s="2" t="n">
        <v>2026</v>
      </c>
      <c r="L18" s="2" t="s">
        <v>112</v>
      </c>
    </row>
    <row r="19" customFormat="false" ht="35.05" hidden="false" customHeight="false" outlineLevel="0" collapsed="false">
      <c r="A19" s="2" t="n">
        <v>18</v>
      </c>
      <c r="B19" s="2" t="s">
        <v>113</v>
      </c>
      <c r="C19" s="2" t="s">
        <v>31</v>
      </c>
      <c r="D19" s="2" t="s">
        <v>114</v>
      </c>
      <c r="E19" s="2" t="s">
        <v>115</v>
      </c>
      <c r="F19" s="3" t="n">
        <v>50000</v>
      </c>
      <c r="G19" s="2" t="s">
        <v>116</v>
      </c>
      <c r="H19" s="2" t="s">
        <v>117</v>
      </c>
      <c r="I19" s="2" t="s">
        <v>118</v>
      </c>
      <c r="J19" s="2" t="s">
        <v>37</v>
      </c>
      <c r="K19" s="2" t="n">
        <v>2026</v>
      </c>
      <c r="L19" s="2" t="s">
        <v>119</v>
      </c>
    </row>
    <row r="20" customFormat="false" ht="23.85" hidden="false" customHeight="false" outlineLevel="0" collapsed="false">
      <c r="A20" s="2" t="n">
        <v>19</v>
      </c>
      <c r="B20" s="2" t="s">
        <v>120</v>
      </c>
      <c r="C20" s="2" t="s">
        <v>31</v>
      </c>
      <c r="D20" s="2" t="s">
        <v>121</v>
      </c>
      <c r="E20" s="2" t="s">
        <v>122</v>
      </c>
      <c r="F20" s="3" t="n">
        <v>2780</v>
      </c>
      <c r="G20" s="2" t="s">
        <v>49</v>
      </c>
      <c r="H20" s="2" t="s">
        <v>56</v>
      </c>
      <c r="I20" s="2" t="s">
        <v>57</v>
      </c>
      <c r="J20" s="2" t="s">
        <v>37</v>
      </c>
      <c r="K20" s="2" t="n">
        <v>2026</v>
      </c>
      <c r="L20" s="2" t="s">
        <v>123</v>
      </c>
    </row>
    <row r="21" customFormat="false" ht="46.25" hidden="false" customHeight="false" outlineLevel="0" collapsed="false">
      <c r="A21" s="2" t="n">
        <v>20</v>
      </c>
      <c r="B21" s="2" t="s">
        <v>124</v>
      </c>
      <c r="C21" s="2" t="s">
        <v>22</v>
      </c>
      <c r="D21" s="2" t="s">
        <v>125</v>
      </c>
      <c r="E21" s="2" t="s">
        <v>126</v>
      </c>
      <c r="F21" s="3" t="n">
        <v>2780</v>
      </c>
      <c r="G21" s="2" t="s">
        <v>49</v>
      </c>
      <c r="H21" s="2" t="s">
        <v>127</v>
      </c>
      <c r="I21" s="2" t="s">
        <v>128</v>
      </c>
      <c r="J21" s="2" t="s">
        <v>28</v>
      </c>
      <c r="K21" s="2" t="n">
        <v>2026</v>
      </c>
      <c r="L21" s="2" t="s">
        <v>129</v>
      </c>
    </row>
    <row r="22" customFormat="false" ht="35.05" hidden="false" customHeight="false" outlineLevel="0" collapsed="false">
      <c r="A22" s="2" t="n">
        <v>21</v>
      </c>
      <c r="B22" s="2" t="s">
        <v>130</v>
      </c>
      <c r="C22" s="2" t="s">
        <v>22</v>
      </c>
      <c r="D22" s="2" t="s">
        <v>131</v>
      </c>
      <c r="E22" s="2" t="s">
        <v>132</v>
      </c>
      <c r="F22" s="3" t="n">
        <v>493</v>
      </c>
      <c r="G22" s="2" t="s">
        <v>62</v>
      </c>
      <c r="H22" s="2" t="s">
        <v>133</v>
      </c>
      <c r="I22" s="2" t="s">
        <v>134</v>
      </c>
      <c r="J22" s="2" t="s">
        <v>28</v>
      </c>
      <c r="K22" s="2" t="n">
        <v>2026</v>
      </c>
      <c r="L22" s="2" t="s">
        <v>135</v>
      </c>
    </row>
    <row r="24" customFormat="false" ht="39.75" hidden="false" customHeight="true" outlineLevel="0" collapsed="false">
      <c r="A24" s="4" t="s">
        <v>136</v>
      </c>
      <c r="B24" s="4"/>
      <c r="C24" s="4"/>
      <c r="D24" s="4"/>
      <c r="E24" s="4"/>
      <c r="F24" s="4"/>
      <c r="G24" s="4"/>
      <c r="H24" s="4"/>
      <c r="I24" s="4"/>
      <c r="J24" s="4"/>
      <c r="K24" s="4"/>
      <c r="L24" s="4"/>
    </row>
  </sheetData>
  <mergeCells count="1">
    <mergeCell ref="A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0"/>
    <col collapsed="false" customWidth="true" hidden="false" outlineLevel="0" max="4" min="4" style="0" width="34"/>
    <col collapsed="false" customWidth="true" hidden="false" outlineLevel="0" max="5" min="5" style="0" width="7"/>
    <col collapsed="false" customWidth="true" hidden="false" outlineLevel="0" max="7" min="6" style="0" width="13"/>
    <col collapsed="false" customWidth="true" hidden="false" outlineLevel="0" max="8" min="8" style="0" width="14"/>
    <col collapsed="false" customWidth="true" hidden="false" outlineLevel="0" max="9" min="9" style="0" width="42"/>
  </cols>
  <sheetData>
    <row r="1" customFormat="false" ht="26.85" hidden="false" customHeight="false" outlineLevel="0" collapsed="false">
      <c r="A1" s="1" t="s">
        <v>137</v>
      </c>
      <c r="B1" s="1" t="s">
        <v>138</v>
      </c>
      <c r="C1" s="1" t="s">
        <v>139</v>
      </c>
      <c r="D1" s="1" t="s">
        <v>4</v>
      </c>
      <c r="E1" s="1" t="s">
        <v>140</v>
      </c>
      <c r="F1" s="1" t="s">
        <v>141</v>
      </c>
      <c r="G1" s="1" t="s">
        <v>142</v>
      </c>
      <c r="H1" s="1" t="s">
        <v>7</v>
      </c>
      <c r="I1" s="1" t="s">
        <v>8</v>
      </c>
    </row>
    <row r="2" customFormat="false" ht="23.85" hidden="false" customHeight="false" outlineLevel="0" collapsed="false">
      <c r="A2" s="2" t="s">
        <v>143</v>
      </c>
      <c r="B2" s="2" t="n">
        <v>11</v>
      </c>
      <c r="C2" s="2" t="s">
        <v>144</v>
      </c>
      <c r="D2" s="2" t="s">
        <v>94</v>
      </c>
      <c r="E2" s="2" t="n">
        <v>10</v>
      </c>
      <c r="F2" s="5" t="n">
        <v>1223.6</v>
      </c>
      <c r="G2" s="5" t="n">
        <v>12236</v>
      </c>
      <c r="H2" s="2" t="s">
        <v>89</v>
      </c>
      <c r="I2" s="2" t="s">
        <v>90</v>
      </c>
    </row>
    <row r="3" customFormat="false" ht="23.85" hidden="false" customHeight="false" outlineLevel="0" collapsed="false">
      <c r="A3" s="2" t="s">
        <v>143</v>
      </c>
      <c r="B3" s="2" t="n">
        <v>14</v>
      </c>
      <c r="C3" s="2" t="s">
        <v>145</v>
      </c>
      <c r="D3" s="2" t="s">
        <v>94</v>
      </c>
      <c r="E3" s="2" t="n">
        <v>2</v>
      </c>
      <c r="F3" s="5" t="n">
        <v>1366.83</v>
      </c>
      <c r="G3" s="5" t="n">
        <v>2733.66</v>
      </c>
      <c r="H3" s="2" t="s">
        <v>146</v>
      </c>
      <c r="I3" s="2" t="s">
        <v>147</v>
      </c>
    </row>
    <row r="4" customFormat="false" ht="23.85" hidden="false" customHeight="false" outlineLevel="0" collapsed="false">
      <c r="A4" s="2" t="s">
        <v>143</v>
      </c>
      <c r="B4" s="2" t="n">
        <v>21</v>
      </c>
      <c r="C4" s="2" t="s">
        <v>148</v>
      </c>
      <c r="D4" s="2" t="s">
        <v>94</v>
      </c>
      <c r="E4" s="2" t="n">
        <v>1</v>
      </c>
      <c r="F4" s="5" t="n">
        <v>762.86</v>
      </c>
      <c r="G4" s="5" t="n">
        <v>762.86</v>
      </c>
      <c r="H4" s="2" t="s">
        <v>89</v>
      </c>
      <c r="I4" s="2" t="s">
        <v>90</v>
      </c>
    </row>
    <row r="5" customFormat="false" ht="23.85" hidden="false" customHeight="false" outlineLevel="0" collapsed="false">
      <c r="A5" s="2" t="s">
        <v>149</v>
      </c>
      <c r="B5" s="2" t="n">
        <v>1</v>
      </c>
      <c r="C5" s="2" t="s">
        <v>150</v>
      </c>
      <c r="D5" s="2" t="s">
        <v>151</v>
      </c>
      <c r="E5" s="2" t="n">
        <v>1</v>
      </c>
      <c r="F5" s="5" t="n">
        <v>30.5</v>
      </c>
      <c r="G5" s="5" t="n">
        <v>30.5</v>
      </c>
      <c r="H5" s="2" t="s">
        <v>146</v>
      </c>
      <c r="I5" s="2" t="s">
        <v>147</v>
      </c>
    </row>
    <row r="6" customFormat="false" ht="23.85" hidden="false" customHeight="false" outlineLevel="0" collapsed="false">
      <c r="A6" s="2" t="s">
        <v>149</v>
      </c>
      <c r="B6" s="2" t="n">
        <v>2</v>
      </c>
      <c r="C6" s="2" t="s">
        <v>152</v>
      </c>
      <c r="D6" s="2" t="s">
        <v>153</v>
      </c>
      <c r="E6" s="2" t="n">
        <v>1</v>
      </c>
      <c r="F6" s="5" t="n">
        <v>75</v>
      </c>
      <c r="G6" s="5" t="n">
        <v>75</v>
      </c>
      <c r="H6" s="2" t="s">
        <v>89</v>
      </c>
      <c r="I6" s="2" t="s">
        <v>90</v>
      </c>
    </row>
    <row r="7" customFormat="false" ht="23.85" hidden="false" customHeight="false" outlineLevel="0" collapsed="false">
      <c r="A7" s="2" t="s">
        <v>149</v>
      </c>
      <c r="B7" s="2" t="n">
        <v>3</v>
      </c>
      <c r="C7" s="2" t="s">
        <v>154</v>
      </c>
      <c r="D7" s="2" t="s">
        <v>155</v>
      </c>
      <c r="E7" s="2" t="n">
        <v>1</v>
      </c>
      <c r="F7" s="5" t="n">
        <v>899</v>
      </c>
      <c r="G7" s="5" t="n">
        <v>899</v>
      </c>
      <c r="H7" s="2" t="s">
        <v>89</v>
      </c>
      <c r="I7" s="2" t="s">
        <v>90</v>
      </c>
    </row>
    <row r="8" customFormat="false" ht="23.85" hidden="false" customHeight="false" outlineLevel="0" collapsed="false">
      <c r="A8" s="2" t="s">
        <v>149</v>
      </c>
      <c r="B8" s="2" t="n">
        <v>4</v>
      </c>
      <c r="C8" s="2" t="s">
        <v>156</v>
      </c>
      <c r="D8" s="2" t="s">
        <v>151</v>
      </c>
      <c r="E8" s="2" t="n">
        <v>1</v>
      </c>
      <c r="F8" s="5" t="n">
        <v>100</v>
      </c>
      <c r="G8" s="5" t="n">
        <v>100</v>
      </c>
      <c r="H8" s="2" t="s">
        <v>89</v>
      </c>
      <c r="I8" s="2" t="s">
        <v>90</v>
      </c>
    </row>
    <row r="9" customFormat="false" ht="23.85" hidden="false" customHeight="false" outlineLevel="0" collapsed="false">
      <c r="A9" s="2" t="s">
        <v>149</v>
      </c>
      <c r="B9" s="2" t="n">
        <v>5</v>
      </c>
      <c r="C9" s="2" t="s">
        <v>157</v>
      </c>
      <c r="D9" s="2" t="s">
        <v>158</v>
      </c>
      <c r="E9" s="2" t="n">
        <v>5</v>
      </c>
      <c r="F9" s="5" t="n">
        <v>45</v>
      </c>
      <c r="G9" s="5" t="n">
        <v>225</v>
      </c>
      <c r="H9" s="2" t="s">
        <v>89</v>
      </c>
      <c r="I9" s="2" t="s">
        <v>90</v>
      </c>
    </row>
    <row r="10" customFormat="false" ht="23.85" hidden="false" customHeight="false" outlineLevel="0" collapsed="false">
      <c r="A10" s="2" t="s">
        <v>149</v>
      </c>
      <c r="B10" s="2" t="n">
        <v>6</v>
      </c>
      <c r="C10" s="2" t="s">
        <v>159</v>
      </c>
      <c r="D10" s="2" t="s">
        <v>160</v>
      </c>
      <c r="E10" s="2" t="n">
        <v>3</v>
      </c>
      <c r="F10" s="5" t="n">
        <v>43</v>
      </c>
      <c r="G10" s="5" t="n">
        <v>129</v>
      </c>
      <c r="H10" s="2" t="s">
        <v>89</v>
      </c>
      <c r="I10" s="2" t="s">
        <v>90</v>
      </c>
    </row>
    <row r="11" customFormat="false" ht="23.85" hidden="false" customHeight="false" outlineLevel="0" collapsed="false">
      <c r="A11" s="2" t="s">
        <v>149</v>
      </c>
      <c r="B11" s="2" t="n">
        <v>7</v>
      </c>
      <c r="C11" s="2" t="s">
        <v>161</v>
      </c>
      <c r="D11" s="2" t="s">
        <v>94</v>
      </c>
      <c r="E11" s="2" t="n">
        <v>2</v>
      </c>
      <c r="F11" s="5" t="n">
        <v>59.85</v>
      </c>
      <c r="G11" s="5" t="n">
        <v>119.7</v>
      </c>
      <c r="H11" s="2" t="s">
        <v>89</v>
      </c>
      <c r="I11" s="2" t="s">
        <v>90</v>
      </c>
    </row>
    <row r="12" customFormat="false" ht="23.85" hidden="false" customHeight="false" outlineLevel="0" collapsed="false">
      <c r="A12" s="2" t="s">
        <v>149</v>
      </c>
      <c r="B12" s="2" t="n">
        <v>8</v>
      </c>
      <c r="C12" s="2" t="s">
        <v>162</v>
      </c>
      <c r="D12" s="2" t="s">
        <v>94</v>
      </c>
      <c r="E12" s="2" t="n">
        <v>1</v>
      </c>
      <c r="F12" s="5" t="n">
        <v>89</v>
      </c>
      <c r="G12" s="5" t="n">
        <v>89</v>
      </c>
      <c r="H12" s="2" t="s">
        <v>89</v>
      </c>
      <c r="I12" s="2" t="s">
        <v>90</v>
      </c>
    </row>
    <row r="13" customFormat="false" ht="15" hidden="false" customHeight="false" outlineLevel="0" collapsed="false">
      <c r="A13" s="2" t="s">
        <v>149</v>
      </c>
      <c r="B13" s="2" t="n">
        <v>9</v>
      </c>
      <c r="C13" s="2" t="s">
        <v>163</v>
      </c>
      <c r="D13" s="2" t="s">
        <v>94</v>
      </c>
      <c r="E13" s="2" t="n">
        <v>1</v>
      </c>
      <c r="F13" s="5" t="n">
        <v>100.25</v>
      </c>
      <c r="G13" s="5" t="n">
        <v>100.25</v>
      </c>
      <c r="H13" s="2" t="s">
        <v>164</v>
      </c>
      <c r="I13" s="2" t="s">
        <v>165</v>
      </c>
    </row>
    <row r="14" customFormat="false" ht="23.85" hidden="false" customHeight="false" outlineLevel="0" collapsed="false">
      <c r="A14" s="2" t="s">
        <v>149</v>
      </c>
      <c r="B14" s="2" t="n">
        <v>11</v>
      </c>
      <c r="C14" s="2" t="s">
        <v>166</v>
      </c>
      <c r="D14" s="2" t="s">
        <v>167</v>
      </c>
      <c r="E14" s="2" t="n">
        <v>1</v>
      </c>
      <c r="F14" s="5" t="n">
        <v>3386.25</v>
      </c>
      <c r="G14" s="5" t="n">
        <v>3386.25</v>
      </c>
      <c r="H14" s="2" t="s">
        <v>146</v>
      </c>
      <c r="I14" s="2" t="s">
        <v>147</v>
      </c>
    </row>
    <row r="15" customFormat="false" ht="23.85" hidden="false" customHeight="false" outlineLevel="0" collapsed="false">
      <c r="A15" s="2" t="s">
        <v>149</v>
      </c>
      <c r="B15" s="2" t="n">
        <v>12</v>
      </c>
      <c r="C15" s="2" t="s">
        <v>168</v>
      </c>
      <c r="D15" s="2" t="s">
        <v>167</v>
      </c>
      <c r="E15" s="2" t="n">
        <v>1</v>
      </c>
      <c r="F15" s="5" t="n">
        <v>748.75</v>
      </c>
      <c r="G15" s="5" t="n">
        <v>748.75</v>
      </c>
      <c r="H15" s="2" t="s">
        <v>89</v>
      </c>
      <c r="I15" s="2" t="s">
        <v>90</v>
      </c>
    </row>
    <row r="16" customFormat="false" ht="23.85" hidden="false" customHeight="false" outlineLevel="0" collapsed="false">
      <c r="A16" s="2" t="s">
        <v>149</v>
      </c>
      <c r="B16" s="2" t="n">
        <v>13</v>
      </c>
      <c r="C16" s="2" t="s">
        <v>169</v>
      </c>
      <c r="D16" s="2" t="s">
        <v>170</v>
      </c>
      <c r="E16" s="2" t="n">
        <v>1</v>
      </c>
      <c r="F16" s="5" t="n">
        <v>4349</v>
      </c>
      <c r="G16" s="5" t="n">
        <v>4349</v>
      </c>
      <c r="H16" s="2" t="s">
        <v>146</v>
      </c>
      <c r="I16" s="2" t="s">
        <v>147</v>
      </c>
    </row>
    <row r="17" customFormat="false" ht="23.85" hidden="false" customHeight="false" outlineLevel="0" collapsed="false">
      <c r="A17" s="2" t="s">
        <v>149</v>
      </c>
      <c r="B17" s="2" t="n">
        <v>14</v>
      </c>
      <c r="C17" s="2" t="s">
        <v>171</v>
      </c>
      <c r="D17" s="2" t="s">
        <v>172</v>
      </c>
      <c r="E17" s="2" t="n">
        <v>2</v>
      </c>
      <c r="F17" s="5" t="n">
        <v>2570</v>
      </c>
      <c r="G17" s="5" t="n">
        <v>5140</v>
      </c>
      <c r="H17" s="2" t="s">
        <v>146</v>
      </c>
      <c r="I17" s="2" t="s">
        <v>147</v>
      </c>
    </row>
    <row r="18" customFormat="false" ht="23.85" hidden="false" customHeight="false" outlineLevel="0" collapsed="false">
      <c r="A18" s="2" t="s">
        <v>149</v>
      </c>
      <c r="B18" s="2" t="n">
        <v>15</v>
      </c>
      <c r="C18" s="2" t="s">
        <v>173</v>
      </c>
      <c r="D18" s="2" t="s">
        <v>174</v>
      </c>
      <c r="E18" s="2" t="n">
        <v>1</v>
      </c>
      <c r="F18" s="5" t="n">
        <v>1389</v>
      </c>
      <c r="G18" s="5" t="n">
        <v>1389</v>
      </c>
      <c r="H18" s="2" t="s">
        <v>146</v>
      </c>
      <c r="I18" s="2" t="s">
        <v>147</v>
      </c>
    </row>
    <row r="19" customFormat="false" ht="23.85" hidden="false" customHeight="false" outlineLevel="0" collapsed="false">
      <c r="A19" s="2" t="s">
        <v>149</v>
      </c>
      <c r="B19" s="2" t="n">
        <v>16</v>
      </c>
      <c r="C19" s="2" t="s">
        <v>175</v>
      </c>
      <c r="D19" s="2" t="s">
        <v>151</v>
      </c>
      <c r="E19" s="2" t="n">
        <v>1</v>
      </c>
      <c r="F19" s="5" t="n">
        <v>800</v>
      </c>
      <c r="G19" s="5" t="n">
        <v>800</v>
      </c>
      <c r="H19" s="2" t="s">
        <v>89</v>
      </c>
      <c r="I19" s="2" t="s">
        <v>90</v>
      </c>
    </row>
    <row r="20" customFormat="false" ht="15" hidden="false" customHeight="false" outlineLevel="0" collapsed="false">
      <c r="A20" s="2" t="s">
        <v>149</v>
      </c>
      <c r="B20" s="2" t="n">
        <v>17</v>
      </c>
      <c r="C20" s="2" t="s">
        <v>176</v>
      </c>
      <c r="D20" s="2" t="s">
        <v>151</v>
      </c>
      <c r="E20" s="2" t="n">
        <v>1</v>
      </c>
      <c r="F20" s="5" t="n">
        <v>285</v>
      </c>
      <c r="G20" s="5" t="n">
        <v>285</v>
      </c>
      <c r="H20" s="2" t="s">
        <v>164</v>
      </c>
      <c r="I20" s="2" t="s">
        <v>165</v>
      </c>
    </row>
    <row r="21" customFormat="false" ht="23.85" hidden="false" customHeight="false" outlineLevel="0" collapsed="false">
      <c r="A21" s="2" t="s">
        <v>149</v>
      </c>
      <c r="B21" s="2" t="n">
        <v>18</v>
      </c>
      <c r="C21" s="2" t="s">
        <v>177</v>
      </c>
      <c r="D21" s="2" t="s">
        <v>151</v>
      </c>
      <c r="E21" s="2" t="n">
        <v>3</v>
      </c>
      <c r="F21" s="5" t="n">
        <v>700</v>
      </c>
      <c r="G21" s="5" t="n">
        <v>2100</v>
      </c>
      <c r="H21" s="2" t="s">
        <v>89</v>
      </c>
      <c r="I21" s="2" t="s">
        <v>90</v>
      </c>
    </row>
    <row r="22" customFormat="false" ht="23.85" hidden="false" customHeight="false" outlineLevel="0" collapsed="false">
      <c r="A22" s="2" t="s">
        <v>149</v>
      </c>
      <c r="B22" s="2" t="n">
        <v>19</v>
      </c>
      <c r="C22" s="2" t="s">
        <v>178</v>
      </c>
      <c r="D22" s="2" t="s">
        <v>172</v>
      </c>
      <c r="E22" s="2" t="n">
        <v>1</v>
      </c>
      <c r="F22" s="5" t="n">
        <v>690</v>
      </c>
      <c r="G22" s="5" t="n">
        <v>690</v>
      </c>
      <c r="H22" s="2" t="s">
        <v>89</v>
      </c>
      <c r="I22" s="2" t="s">
        <v>90</v>
      </c>
    </row>
    <row r="23" customFormat="false" ht="23.85" hidden="false" customHeight="false" outlineLevel="0" collapsed="false">
      <c r="A23" s="2" t="s">
        <v>149</v>
      </c>
      <c r="B23" s="2" t="n">
        <v>20</v>
      </c>
      <c r="C23" s="2" t="s">
        <v>179</v>
      </c>
      <c r="D23" s="2" t="s">
        <v>151</v>
      </c>
      <c r="E23" s="2" t="n">
        <v>3</v>
      </c>
      <c r="F23" s="5" t="n">
        <v>200</v>
      </c>
      <c r="G23" s="5" t="n">
        <v>600</v>
      </c>
      <c r="H23" s="2" t="s">
        <v>89</v>
      </c>
      <c r="I23" s="2" t="s">
        <v>90</v>
      </c>
    </row>
    <row r="24" customFormat="false" ht="23.85" hidden="false" customHeight="false" outlineLevel="0" collapsed="false">
      <c r="A24" s="2" t="s">
        <v>149</v>
      </c>
      <c r="B24" s="2" t="n">
        <v>21</v>
      </c>
      <c r="C24" s="2" t="s">
        <v>180</v>
      </c>
      <c r="D24" s="2" t="s">
        <v>181</v>
      </c>
      <c r="E24" s="2" t="n">
        <v>1</v>
      </c>
      <c r="F24" s="5" t="n">
        <v>1189</v>
      </c>
      <c r="G24" s="5" t="n">
        <v>1189</v>
      </c>
      <c r="H24" s="2" t="s">
        <v>89</v>
      </c>
      <c r="I24" s="2" t="s">
        <v>90</v>
      </c>
    </row>
    <row r="25" customFormat="false" ht="23.85" hidden="false" customHeight="false" outlineLevel="0" collapsed="false">
      <c r="A25" s="2" t="s">
        <v>149</v>
      </c>
      <c r="B25" s="2" t="n">
        <v>22</v>
      </c>
      <c r="C25" s="2" t="s">
        <v>182</v>
      </c>
      <c r="D25" s="2" t="s">
        <v>183</v>
      </c>
      <c r="E25" s="2" t="n">
        <v>1</v>
      </c>
      <c r="F25" s="5" t="n">
        <v>9200</v>
      </c>
      <c r="G25" s="5" t="n">
        <v>9200</v>
      </c>
      <c r="H25" s="2" t="s">
        <v>184</v>
      </c>
      <c r="I25" s="2" t="s">
        <v>185</v>
      </c>
    </row>
    <row r="26" customFormat="false" ht="23.85" hidden="false" customHeight="false" outlineLevel="0" collapsed="false">
      <c r="A26" s="2" t="s">
        <v>149</v>
      </c>
      <c r="B26" s="2" t="n">
        <v>23</v>
      </c>
      <c r="C26" s="2" t="s">
        <v>186</v>
      </c>
      <c r="D26" s="2" t="s">
        <v>94</v>
      </c>
      <c r="E26" s="2" t="n">
        <v>1</v>
      </c>
      <c r="F26" s="5" t="n">
        <v>745.5</v>
      </c>
      <c r="G26" s="5" t="n">
        <v>745.5</v>
      </c>
      <c r="H26" s="2" t="s">
        <v>187</v>
      </c>
      <c r="I26" s="2" t="s">
        <v>188</v>
      </c>
    </row>
    <row r="27" customFormat="false" ht="23.85" hidden="false" customHeight="false" outlineLevel="0" collapsed="false">
      <c r="A27" s="2" t="s">
        <v>149</v>
      </c>
      <c r="B27" s="2" t="n">
        <v>24</v>
      </c>
      <c r="C27" s="2" t="s">
        <v>189</v>
      </c>
      <c r="D27" s="2" t="s">
        <v>94</v>
      </c>
      <c r="E27" s="2" t="n">
        <v>1</v>
      </c>
      <c r="F27" s="5" t="n">
        <v>199</v>
      </c>
      <c r="G27" s="5" t="n">
        <v>199</v>
      </c>
      <c r="H27" s="2" t="s">
        <v>187</v>
      </c>
      <c r="I27" s="2" t="s">
        <v>188</v>
      </c>
    </row>
    <row r="28" customFormat="false" ht="23.85" hidden="false" customHeight="false" outlineLevel="0" collapsed="false">
      <c r="A28" s="2" t="s">
        <v>149</v>
      </c>
      <c r="B28" s="2" t="n">
        <v>25</v>
      </c>
      <c r="C28" s="2" t="s">
        <v>190</v>
      </c>
      <c r="D28" s="2" t="s">
        <v>191</v>
      </c>
      <c r="E28" s="2" t="n">
        <v>1</v>
      </c>
      <c r="F28" s="5" t="n">
        <v>485</v>
      </c>
      <c r="G28" s="5" t="n">
        <v>485</v>
      </c>
      <c r="H28" s="2" t="s">
        <v>146</v>
      </c>
      <c r="I28" s="2" t="s">
        <v>147</v>
      </c>
    </row>
    <row r="29" customFormat="false" ht="15" hidden="false" customHeight="false" outlineLevel="0" collapsed="false">
      <c r="F29" s="6" t="s">
        <v>192</v>
      </c>
      <c r="G29" s="7" t="n">
        <f aca="false">SUM(G2:G28)</f>
        <v>48806.47</v>
      </c>
    </row>
    <row r="31" customFormat="false" ht="60" hidden="false" customHeight="true" outlineLevel="0" collapsed="false">
      <c r="A31" s="4" t="s">
        <v>193</v>
      </c>
      <c r="B31" s="4"/>
      <c r="C31" s="4"/>
      <c r="D31" s="4"/>
      <c r="E31" s="4"/>
      <c r="F31" s="4"/>
      <c r="G31" s="4"/>
      <c r="H31" s="4"/>
      <c r="I31" s="4"/>
    </row>
  </sheetData>
  <mergeCells count="1">
    <mergeCell ref="A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4" min="3" style="0" width="20"/>
    <col collapsed="false" customWidth="true" hidden="false" outlineLevel="0" max="5" min="5" style="0" width="18"/>
    <col collapsed="false" customWidth="true" hidden="false" outlineLevel="0" max="6" min="6" style="0" width="24"/>
  </cols>
  <sheetData>
    <row r="1" customFormat="false" ht="26.85" hidden="false" customHeight="false" outlineLevel="0" collapsed="false">
      <c r="A1" s="1" t="s">
        <v>7</v>
      </c>
      <c r="B1" s="1" t="s">
        <v>194</v>
      </c>
      <c r="C1" s="1" t="s">
        <v>195</v>
      </c>
      <c r="D1" s="1" t="s">
        <v>196</v>
      </c>
      <c r="E1" s="1" t="s">
        <v>197</v>
      </c>
      <c r="F1" s="1" t="s">
        <v>198</v>
      </c>
    </row>
    <row r="2" customFormat="false" ht="15" hidden="false" customHeight="false" outlineLevel="0" collapsed="false">
      <c r="A2" s="8" t="s">
        <v>26</v>
      </c>
      <c r="B2" s="8" t="s">
        <v>27</v>
      </c>
      <c r="C2" s="9" t="n">
        <f aca="false">SUMIFS('Contratacoes 2026'!$F$2:$F$22,'Contratacoes 2026'!$H$2:$H$22,A2,'Contratacoes 2026'!$J$2:$J$22,"Sim")+SUMIFS('Itens 013 e 016'!$G$2:$G$28,'Itens 013 e 016'!$H$2:$H$28,A2)</f>
        <v>18200</v>
      </c>
      <c r="D2" s="10" t="n">
        <v>65492.11</v>
      </c>
      <c r="E2" s="9" t="n">
        <f aca="false">D2-C2</f>
        <v>47292.11</v>
      </c>
      <c r="F2" s="8" t="str">
        <f aca="false">IF(C2&gt;D2,"ULTRAPASSOU O LIMITE",IF(C2&gt;0.8*D2,"ATENCAO: proximo do limite","OK"))</f>
        <v>OK</v>
      </c>
    </row>
    <row r="3" customFormat="false" ht="15" hidden="false" customHeight="false" outlineLevel="0" collapsed="false">
      <c r="A3" s="8" t="s">
        <v>43</v>
      </c>
      <c r="B3" s="8" t="s">
        <v>199</v>
      </c>
      <c r="C3" s="9" t="n">
        <f aca="false">SUMIFS('Contratacoes 2026'!$F$2:$F$22,'Contratacoes 2026'!$H$2:$H$22,A3,'Contratacoes 2026'!$J$2:$J$22,"Sim")+SUMIFS('Itens 013 e 016'!$G$2:$G$28,'Itens 013 e 016'!$H$2:$H$28,A3)</f>
        <v>21892.75</v>
      </c>
      <c r="D3" s="10" t="n">
        <v>65492.11</v>
      </c>
      <c r="E3" s="9" t="n">
        <f aca="false">D3-C3</f>
        <v>43599.36</v>
      </c>
      <c r="F3" s="8" t="str">
        <f aca="false">IF(C3&gt;D3,"ULTRAPASSOU O LIMITE",IF(C3&gt;0.8*D3,"ATENCAO: proximo do limite","OK"))</f>
        <v>OK</v>
      </c>
    </row>
    <row r="4" customFormat="false" ht="15" hidden="false" customHeight="false" outlineLevel="0" collapsed="false">
      <c r="A4" s="8" t="s">
        <v>50</v>
      </c>
      <c r="B4" s="8" t="s">
        <v>51</v>
      </c>
      <c r="C4" s="9" t="n">
        <f aca="false">SUMIFS('Contratacoes 2026'!$F$2:$F$22,'Contratacoes 2026'!$H$2:$H$22,A4,'Contratacoes 2026'!$J$2:$J$22,"Sim")+SUMIFS('Itens 013 e 016'!$G$2:$G$28,'Itens 013 e 016'!$H$2:$H$28,A4)</f>
        <v>14353.8</v>
      </c>
      <c r="D4" s="10" t="n">
        <v>65492.11</v>
      </c>
      <c r="E4" s="9" t="n">
        <f aca="false">D4-C4</f>
        <v>51138.31</v>
      </c>
      <c r="F4" s="8" t="str">
        <f aca="false">IF(C4&gt;D4,"ULTRAPASSOU O LIMITE",IF(C4&gt;0.8*D4,"ATENCAO: proximo do limite","OK"))</f>
        <v>OK</v>
      </c>
    </row>
    <row r="5" customFormat="false" ht="15" hidden="false" customHeight="false" outlineLevel="0" collapsed="false">
      <c r="A5" s="8" t="s">
        <v>83</v>
      </c>
      <c r="B5" s="8" t="s">
        <v>200</v>
      </c>
      <c r="C5" s="9" t="n">
        <f aca="false">SUMIFS('Contratacoes 2026'!$F$2:$F$22,'Contratacoes 2026'!$H$2:$H$22,A5,'Contratacoes 2026'!$J$2:$J$22,"Sim")+SUMIFS('Itens 013 e 016'!$G$2:$G$28,'Itens 013 e 016'!$H$2:$H$28,A5)</f>
        <v>2520</v>
      </c>
      <c r="D5" s="10" t="n">
        <v>65492.11</v>
      </c>
      <c r="E5" s="9" t="n">
        <f aca="false">D5-C5</f>
        <v>62972.11</v>
      </c>
      <c r="F5" s="8" t="str">
        <f aca="false">IF(C5&gt;D5,"ULTRAPASSOU O LIMITE",IF(C5&gt;0.8*D5,"ATENCAO: proximo do limite","OK"))</f>
        <v>OK</v>
      </c>
    </row>
    <row r="6" customFormat="false" ht="15" hidden="false" customHeight="false" outlineLevel="0" collapsed="false">
      <c r="A6" s="8" t="s">
        <v>89</v>
      </c>
      <c r="B6" s="8" t="s">
        <v>201</v>
      </c>
      <c r="C6" s="9" t="n">
        <f aca="false">SUMIFS('Contratacoes 2026'!$F$2:$F$22,'Contratacoes 2026'!$H$2:$H$22,A6,'Contratacoes 2026'!$J$2:$J$22,"Sim")+SUMIFS('Itens 013 e 016'!$G$2:$G$28,'Itens 013 e 016'!$H$2:$H$28,A6)</f>
        <v>26399.22</v>
      </c>
      <c r="D6" s="10" t="n">
        <v>65492.11</v>
      </c>
      <c r="E6" s="9" t="n">
        <f aca="false">D6-C6</f>
        <v>39092.89</v>
      </c>
      <c r="F6" s="8" t="str">
        <f aca="false">IF(C6&gt;D6,"ULTRAPASSOU O LIMITE",IF(C6&gt;0.8*D6,"ATENCAO: proximo do limite","OK"))</f>
        <v>OK</v>
      </c>
    </row>
    <row r="7" customFormat="false" ht="15" hidden="false" customHeight="false" outlineLevel="0" collapsed="false">
      <c r="A7" s="8" t="s">
        <v>146</v>
      </c>
      <c r="B7" s="8" t="s">
        <v>202</v>
      </c>
      <c r="C7" s="9" t="n">
        <f aca="false">SUMIFS('Contratacoes 2026'!$F$2:$F$22,'Contratacoes 2026'!$H$2:$H$22,A7,'Contratacoes 2026'!$J$2:$J$22,"Sim")+SUMIFS('Itens 013 e 016'!$G$2:$G$28,'Itens 013 e 016'!$H$2:$H$28,A7)</f>
        <v>17513.41</v>
      </c>
      <c r="D7" s="10" t="n">
        <v>65492.11</v>
      </c>
      <c r="E7" s="9" t="n">
        <f aca="false">D7-C7</f>
        <v>47978.7</v>
      </c>
      <c r="F7" s="8" t="str">
        <f aca="false">IF(C7&gt;D7,"ULTRAPASSOU O LIMITE",IF(C7&gt;0.8*D7,"ATENCAO: proximo do limite","OK"))</f>
        <v>OK</v>
      </c>
    </row>
    <row r="8" customFormat="false" ht="15" hidden="false" customHeight="false" outlineLevel="0" collapsed="false">
      <c r="A8" s="8" t="s">
        <v>164</v>
      </c>
      <c r="B8" s="8" t="s">
        <v>165</v>
      </c>
      <c r="C8" s="9" t="n">
        <f aca="false">SUMIFS('Contratacoes 2026'!$F$2:$F$22,'Contratacoes 2026'!$H$2:$H$22,A8,'Contratacoes 2026'!$J$2:$J$22,"Sim")+SUMIFS('Itens 013 e 016'!$G$2:$G$28,'Itens 013 e 016'!$H$2:$H$28,A8)</f>
        <v>385.25</v>
      </c>
      <c r="D8" s="10" t="n">
        <v>65492.11</v>
      </c>
      <c r="E8" s="9" t="n">
        <f aca="false">D8-C8</f>
        <v>65106.86</v>
      </c>
      <c r="F8" s="8" t="str">
        <f aca="false">IF(C8&gt;D8,"ULTRAPASSOU O LIMITE",IF(C8&gt;0.8*D8,"ATENCAO: proximo do limite","OK"))</f>
        <v>OK</v>
      </c>
    </row>
    <row r="9" customFormat="false" ht="15" hidden="false" customHeight="false" outlineLevel="0" collapsed="false">
      <c r="A9" s="8" t="s">
        <v>184</v>
      </c>
      <c r="B9" s="8" t="s">
        <v>203</v>
      </c>
      <c r="C9" s="9" t="n">
        <f aca="false">SUMIFS('Contratacoes 2026'!$F$2:$F$22,'Contratacoes 2026'!$H$2:$H$22,A9,'Contratacoes 2026'!$J$2:$J$22,"Sim")+SUMIFS('Itens 013 e 016'!$G$2:$G$28,'Itens 013 e 016'!$H$2:$H$28,A9)</f>
        <v>9200</v>
      </c>
      <c r="D9" s="10" t="n">
        <v>65492.11</v>
      </c>
      <c r="E9" s="9" t="n">
        <f aca="false">D9-C9</f>
        <v>56292.11</v>
      </c>
      <c r="F9" s="8" t="str">
        <f aca="false">IF(C9&gt;D9,"ULTRAPASSOU O LIMITE",IF(C9&gt;0.8*D9,"ATENCAO: proximo do limite","OK"))</f>
        <v>OK</v>
      </c>
    </row>
    <row r="10" customFormat="false" ht="15" hidden="false" customHeight="false" outlineLevel="0" collapsed="false">
      <c r="A10" s="8" t="s">
        <v>187</v>
      </c>
      <c r="B10" s="8" t="s">
        <v>188</v>
      </c>
      <c r="C10" s="9" t="n">
        <f aca="false">SUMIFS('Contratacoes 2026'!$F$2:$F$22,'Contratacoes 2026'!$H$2:$H$22,A10,'Contratacoes 2026'!$J$2:$J$22,"Sim")+SUMIFS('Itens 013 e 016'!$G$2:$G$28,'Itens 013 e 016'!$H$2:$H$28,A10)</f>
        <v>944.5</v>
      </c>
      <c r="D10" s="10" t="n">
        <v>65492.11</v>
      </c>
      <c r="E10" s="9" t="n">
        <f aca="false">D10-C10</f>
        <v>64547.61</v>
      </c>
      <c r="F10" s="8" t="str">
        <f aca="false">IF(C10&gt;D10,"ULTRAPASSOU O LIMITE",IF(C10&gt;0.8*D10,"ATENCAO: proximo do limite","OK"))</f>
        <v>OK</v>
      </c>
    </row>
    <row r="11" customFormat="false" ht="15" hidden="false" customHeight="false" outlineLevel="0" collapsed="false">
      <c r="A11" s="8" t="s">
        <v>127</v>
      </c>
      <c r="B11" s="8" t="s">
        <v>204</v>
      </c>
      <c r="C11" s="9" t="n">
        <f aca="false">SUMIFS('Contratacoes 2026'!$F$2:$F$22,'Contratacoes 2026'!$H$2:$H$22,A11,'Contratacoes 2026'!$J$2:$J$22,"Sim")+SUMIFS('Itens 013 e 016'!$G$2:$G$28,'Itens 013 e 016'!$H$2:$H$28,A11)</f>
        <v>2780</v>
      </c>
      <c r="D11" s="10" t="n">
        <v>65492.11</v>
      </c>
      <c r="E11" s="9" t="n">
        <f aca="false">D11-C11</f>
        <v>62712.11</v>
      </c>
      <c r="F11" s="8" t="str">
        <f aca="false">IF(C11&gt;D11,"ULTRAPASSOU O LIMITE",IF(C11&gt;0.8*D11,"ATENCAO: proximo do limite","OK"))</f>
        <v>OK</v>
      </c>
    </row>
    <row r="12" customFormat="false" ht="15" hidden="false" customHeight="false" outlineLevel="0" collapsed="false">
      <c r="A12" s="8" t="s">
        <v>133</v>
      </c>
      <c r="B12" s="8" t="s">
        <v>205</v>
      </c>
      <c r="C12" s="9" t="n">
        <f aca="false">SUMIFS('Contratacoes 2026'!$F$2:$F$22,'Contratacoes 2026'!$H$2:$H$22,A12,'Contratacoes 2026'!$J$2:$J$22,"Sim")+SUMIFS('Itens 013 e 016'!$G$2:$G$28,'Itens 013 e 016'!$H$2:$H$28,A12)</f>
        <v>493</v>
      </c>
      <c r="D12" s="10" t="n">
        <v>65492.11</v>
      </c>
      <c r="E12" s="9" t="n">
        <f aca="false">D12-C12</f>
        <v>64999.11</v>
      </c>
      <c r="F12" s="8" t="str">
        <f aca="false">IF(C12&gt;D12,"ULTRAPASSOU O LIMITE",IF(C12&gt;0.8*D12,"ATENCAO: proximo do limite","OK"))</f>
        <v>OK</v>
      </c>
    </row>
    <row r="13" customFormat="false" ht="15" hidden="false" customHeight="false" outlineLevel="0" collapsed="false">
      <c r="A13" s="8" t="s">
        <v>17</v>
      </c>
      <c r="B13" s="8" t="s">
        <v>206</v>
      </c>
      <c r="C13" s="9" t="n">
        <f aca="false">SUMIFS('Contratacoes 2026'!$F$2:$F$22,'Contratacoes 2026'!$H$2:$H$22,A13,'Contratacoes 2026'!$J$2:$J$22,"Sim")+SUMIFS('Itens 013 e 016'!$G$2:$G$28,'Itens 013 e 016'!$H$2:$H$28,A13)</f>
        <v>0</v>
      </c>
      <c r="D13" s="10" t="n">
        <v>65492.11</v>
      </c>
      <c r="E13" s="9" t="n">
        <f aca="false">D13-C13</f>
        <v>65492.11</v>
      </c>
      <c r="F13" s="8" t="str">
        <f aca="false">IF(C13&gt;D13,"ULTRAPASSOU O LIMITE",IF(C13&gt;0.8*D13,"ATENCAO: proximo do limite","OK"))</f>
        <v>OK</v>
      </c>
    </row>
    <row r="15" customFormat="false" ht="54.75" hidden="false" customHeight="true" outlineLevel="0" collapsed="false">
      <c r="A15" s="4" t="s">
        <v>207</v>
      </c>
      <c r="B15" s="4"/>
      <c r="C15" s="4"/>
      <c r="D15" s="4"/>
      <c r="E15" s="4"/>
      <c r="F15" s="4"/>
    </row>
  </sheetData>
  <mergeCells count="1">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40"/>
  </cols>
  <sheetData>
    <row r="1" customFormat="false" ht="30" hidden="false" customHeight="true" outlineLevel="0" collapsed="false">
      <c r="A1" s="1" t="s">
        <v>208</v>
      </c>
      <c r="B1" s="1" t="s">
        <v>6</v>
      </c>
      <c r="C1" s="1" t="s">
        <v>209</v>
      </c>
      <c r="D1" s="1" t="s">
        <v>210</v>
      </c>
    </row>
    <row r="2" customFormat="false" ht="23.85" hidden="false" customHeight="false" outlineLevel="0" collapsed="false">
      <c r="A2" s="2" t="s">
        <v>211</v>
      </c>
      <c r="B2" s="2" t="s">
        <v>212</v>
      </c>
      <c r="C2" s="2" t="s">
        <v>213</v>
      </c>
      <c r="D2" s="2" t="s">
        <v>214</v>
      </c>
    </row>
    <row r="3" customFormat="false" ht="46.25" hidden="false" customHeight="false" outlineLevel="0" collapsed="false">
      <c r="A3" s="2" t="s">
        <v>215</v>
      </c>
      <c r="B3" s="2" t="s">
        <v>216</v>
      </c>
      <c r="C3" s="2" t="s">
        <v>217</v>
      </c>
      <c r="D3" s="2" t="s">
        <v>218</v>
      </c>
    </row>
    <row r="4" customFormat="false" ht="35.05" hidden="false" customHeight="false" outlineLevel="0" collapsed="false">
      <c r="A4" s="2" t="s">
        <v>219</v>
      </c>
      <c r="B4" s="2" t="s">
        <v>220</v>
      </c>
      <c r="C4" s="2" t="s">
        <v>221</v>
      </c>
      <c r="D4" s="2"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2026-07-02T00:36:59Z</dcterms:created>
  <dc:creator>openpyxl</dc:creator>
  <dc:description/>
  <dc:language>en-US</dc:language>
  <cp:lastModifiedBy/>
  <dcterms:modified xsi:type="dcterms:W3CDTF">2026-07-02T00:36:59Z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