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43acaeb4ee4d8b" /></Relationships>
</file>

<file path=xl/workbook.xml><?xml version="1.0" encoding="utf-8"?>
<x:workbook xmlns:x="http://schemas.openxmlformats.org/spreadsheetml/2006/main">
  <x:sheets>
    <x:sheet xmlns:r="http://schemas.openxmlformats.org/officeDocument/2006/relationships" name="Processos" sheetId="1" r:id="R870ad4b5546f4058"/>
    <x:sheet xmlns:r="http://schemas.openxmlformats.org/officeDocument/2006/relationships" name="Resumo" sheetId="2" r:id="Rc7fd88a77c294b4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quot;R$&quot; #,##0.00"/>
    <x:numFmt numFmtId="201" formatCode="0"/>
  </x:numFmts>
  <x:fonts count="5">
    <x:font>
      <x:sz val="11"/>
      <x:name val="Carlito"/>
    </x:font>
    <x:font>
      <x:b/>
      <x:sz val="11"/>
      <x:color rgb="FFFFFFFF"/>
      <x:name val="Carlito"/>
    </x:font>
    <x:font>
      <x:b/>
      <x:sz val="16"/>
      <x:color rgb="FFFFFFFF"/>
      <x:name val="Carlito"/>
    </x:font>
    <x:font>
      <x:b/>
      <x:sz val="11"/>
      <x:color rgb="FF123A63"/>
      <x:name val="Carlito"/>
    </x:font>
    <x:font>
      <x:i/>
      <x:sz val="11"/>
      <x:color rgb="FF334155"/>
      <x:name val="Carlito"/>
    </x:font>
  </x:fonts>
  <x:fills count="5">
    <x:fill>
      <x:patternFill patternType="none"/>
    </x:fill>
    <x:fill>
      <x:patternFill patternType="gray125"/>
    </x:fill>
    <x:fill>
      <x:patternFill patternType="solid">
        <x:fgColor rgb="FF123A63"/>
      </x:patternFill>
    </x:fill>
    <x:fill>
      <x:patternFill patternType="solid">
        <x:fgColor rgb="FFDCE8F5"/>
      </x:patternFill>
    </x:fill>
    <x:fill>
      <x:patternFill patternType="solid">
        <x:fgColor rgb="FFF2F6FA"/>
      </x:patternFill>
    </x:fill>
  </x:fills>
  <x:borders count="7">
    <x:border/>
    <x:border>
      <x:right style="thin">
        <x:color rgb="FFC8D6E5"/>
      </x:right>
      <x:bottom style="thin">
        <x:color rgb="FFC8D6E5"/>
      </x:bottom>
    </x:border>
    <x:border>
      <x:left style="thin">
        <x:color rgb="FFC8D6E5"/>
      </x:left>
      <x:bottom style="thin">
        <x:color rgb="FFC8D6E5"/>
      </x:bottom>
    </x:border>
    <x:border>
      <x:right style="thin">
        <x:color rgb="FFC8D6E5"/>
      </x:right>
      <x:top style="thin">
        <x:color rgb="FFC8D6E5"/>
      </x:top>
      <x:bottom style="thin">
        <x:color rgb="FFC8D6E5"/>
      </x:bottom>
    </x:border>
    <x:border>
      <x:left style="thin">
        <x:color rgb="FFC8D6E5"/>
      </x:left>
      <x:top style="thin">
        <x:color rgb="FFC8D6E5"/>
      </x:top>
      <x:bottom style="thin">
        <x:color rgb="FFC8D6E5"/>
      </x:bottom>
    </x:border>
    <x:border>
      <x:right style="thin">
        <x:color rgb="FFC8D6E5"/>
      </x:right>
      <x:top style="thin">
        <x:color rgb="FFC8D6E5"/>
      </x:top>
    </x:border>
    <x:border>
      <x:left style="thin">
        <x:color rgb="FFC8D6E5"/>
      </x:left>
      <x:top style="thin">
        <x:color rgb="FFC8D6E5"/>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0" fillId="0" borderId="2" xfId="0" applyNumberFormat="1" applyFont="1" applyFill="1" applyBorder="1"/>
    <x:xf numFmtId="0" fontId="3" fillId="3" borderId="3" xfId="0" applyNumberFormat="1" applyFont="1" applyFill="1" applyBorder="1"/>
    <x:xf numFmtId="0" fontId="0" fillId="0" borderId="4" xfId="0" applyNumberFormat="1" applyFont="1" applyFill="1" applyBorder="1"/>
    <x:xf numFmtId="0" fontId="3" fillId="3" borderId="5" xfId="0" applyNumberFormat="1" applyFont="1" applyFill="1" applyBorder="1"/>
    <x:xf numFmtId="0" fontId="0" fillId="0" borderId="6" xfId="0" applyNumberFormat="1" applyFont="1" applyFill="1" applyBorder="1"/>
    <x:xf numFmtId="0" fontId="3" fillId="3" borderId="2" xfId="0" applyNumberFormat="1" applyFont="1" applyFill="1" applyBorder="1"/>
    <x:xf numFmtId="0" fontId="0" fillId="0" borderId="3" xfId="0" applyNumberFormat="1" applyFont="1" applyFill="1" applyBorder="1"/>
    <x:xf numFmtId="0" fontId="0" fillId="0" borderId="5" xfId="0" applyNumberFormat="1" applyFont="1" applyFill="1" applyBorder="1"/>
    <x:xf numFmtId="0" fontId="0" fillId="0" borderId="6"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e3aa1820674102" /><Relationship Type="http://schemas.openxmlformats.org/officeDocument/2006/relationships/theme" Target="/xl/theme/theme1.xml" Id="R48e0a57157934a9a" /><Relationship Type="http://schemas.openxmlformats.org/officeDocument/2006/relationships/sharedStrings" Target="/xl/sharedStrings.xml" Id="Re41ff1648d6a4594" /><Relationship Type="http://schemas.openxmlformats.org/officeDocument/2006/relationships/worksheet" Target="/xl/worksheets/sheet1.xml" Id="R870ad4b5546f4058" /><Relationship Type="http://schemas.openxmlformats.org/officeDocument/2006/relationships/worksheet" Target="/xl/worksheets/sheet2.xml" Id="Rc7fd88a77c294b45" /></Relationships>
</file>

<file path=xl/tables/table1.xml><?xml version="1.0" encoding="utf-8"?>
<x:table xmlns:x="http://schemas.openxmlformats.org/spreadsheetml/2006/main" id="1" name="ProcessosCompraDireta" displayName="ProcessosCompraDireta" ref="A1:J211" headerRowCount="1" totalsRowCount="0" totalsRowShown="0">
  <x:autoFilter ref="A1:J211"/>
  <x:tableColumns count="10">
    <x:tableColumn id="1" name="NÚMERO LICITAÇÃO"/>
    <x:tableColumn id="2" name="CONTRATO"/>
    <x:tableColumn id="3" name="ANO LICITAÇÃO"/>
    <x:tableColumn id="4" name="TIPO DE PROCEDIMENTO"/>
    <x:tableColumn id="5" name="OBJETO"/>
    <x:tableColumn id="6" name="SITUAÇÃO"/>
    <x:tableColumn id="7" name="ESTIMADO"/>
    <x:tableColumn id="8" name="TOTAL"/>
    <x:tableColumn id="9" name="FORNECEDOR"/>
    <x:tableColumn id="10" name="DATA DA SESS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c34b8729d44063"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5" hidden="0" customWidth="1"/>
    <x:col min="4" max="4" width="22" hidden="0" customWidth="1"/>
    <x:col min="5" max="5" width="72" hidden="0" customWidth="1"/>
    <x:col min="6" max="6" width="16" hidden="0" customWidth="1"/>
    <x:col min="7" max="7" width="17" hidden="0" customWidth="1"/>
    <x:col min="8" max="8" width="17" hidden="0" customWidth="1"/>
    <x:col min="9" max="9" width="42" hidden="0" customWidth="1"/>
    <x:col min="10" max="10" width="18" hidden="0" customWidth="1"/>
  </x:cols>
  <x:sheetData>
    <x:row r="1" ht="15" hidden="0" customHeight="1">
      <x:c r="A1" s="3" t="str">
        <x:v>NÚMERO LICITAÇÃO</x:v>
      </x:c>
      <x:c r="B1" s="3" t="str">
        <x:v>CONTRATO</x:v>
      </x:c>
      <x:c r="C1" s="3" t="str">
        <x:v>ANO LICITAÇÃO</x:v>
      </x:c>
      <x:c r="D1" s="3" t="str">
        <x:v>TIPO DE PROCEDIMENTO</x:v>
      </x:c>
      <x:c r="E1" s="3" t="str">
        <x:v>OBJETO</x:v>
      </x:c>
      <x:c r="F1" s="3" t="str">
        <x:v>SITUAÇÃO</x:v>
      </x:c>
      <x:c r="G1" s="3" t="str">
        <x:v>ESTIMADO</x:v>
      </x:c>
      <x:c r="H1" s="3" t="str">
        <x:v>TOTAL</x:v>
      </x:c>
      <x:c r="I1" s="3" t="str">
        <x:v>FORNECEDOR</x:v>
      </x:c>
      <x:c r="J1" s="3" t="str">
        <x:v>DATA DA SESSÃO</x:v>
      </x:c>
    </x:row>
    <x:row r="2" ht="15" hidden="0" customHeight="1">
      <x:c r="A2" s="4" t="n">
        <x:v>287</x:v>
      </x:c>
      <x:c r="B2" s="4"/>
      <x:c r="C2" s="8" t="n">
        <x:v>2026</x:v>
      </x:c>
      <x:c r="D2" s="4" t="str">
        <x:v>Compra direta</x:v>
      </x:c>
      <x:c r="E2" s="6" t="str">
        <x:v>24 (vinte quatro) refis de filtro para purificador de água premium, marca Colormaq.</x:v>
      </x:c>
      <x:c r="F2" s="4" t="str">
        <x:v>Concluído</x:v>
      </x:c>
      <x:c r="G2" s="7" t="n">
        <x:v>1431.36</x:v>
      </x:c>
      <x:c r="H2" s="7" t="n">
        <x:v>1284</x:v>
      </x:c>
      <x:c r="I2" s="4" t="str">
        <x:v>UNILAR COMERCIAL LTDA</x:v>
      </x:c>
      <x:c r="J2" s="4"/>
    </x:row>
    <x:row r="3" ht="15" hidden="0" customHeight="1">
      <x:c r="A3" s="4" t="n">
        <x:v>282</x:v>
      </x:c>
      <x:c r="B3" s="4"/>
      <x:c r="C3" s="8" t="n">
        <x:v>2026</x:v>
      </x:c>
      <x:c r="D3" s="4" t="str">
        <x:v>Compra direta</x:v>
      </x:c>
      <x:c r="E3" s="6" t="str">
        <x:v>Oficina prática e colaborativa com o tema ¿Embrulho de Presentes com Material Reciclado¿</x:v>
      </x:c>
      <x:c r="F3" s="4" t="str">
        <x:v>Concluído</x:v>
      </x:c>
      <x:c r="G3" s="7" t="n">
        <x:v>1200</x:v>
      </x:c>
      <x:c r="H3" s="7" t="n">
        <x:v>1200</x:v>
      </x:c>
      <x:c r="I3" s="4" t="str">
        <x:v>FLUIR PRODUCOES LTDA</x:v>
      </x:c>
      <x:c r="J3" s="4"/>
    </x:row>
    <x:row r="4" ht="26.399999618530273" hidden="0" customHeight="1">
      <x:c r="A4" s="4" t="n">
        <x:v>274</x:v>
      </x:c>
      <x:c r="B4" s="4"/>
      <x:c r="C4" s="8" t="n">
        <x:v>2026</x:v>
      </x:c>
      <x:c r="D4" s="4" t="str">
        <x:v>Compra direta</x:v>
      </x:c>
      <x:c r="E4" s="6" t="str">
        <x:v>Serviços de facilitação gráfica e comunicação visual para atendimento ao IV Congresso Nacional de Comunicação dos Tribunais de Contas, a ser realizado nos dias 03 e 04 de agosto de 2026</x:v>
      </x:c>
      <x:c r="F4" s="4" t="str">
        <x:v>Concluído</x:v>
      </x:c>
      <x:c r="G4" s="7" t="n">
        <x:v>10000</x:v>
      </x:c>
      <x:c r="H4" s="7" t="n">
        <x:v>7600</x:v>
      </x:c>
      <x:c r="I4" s="4" t="str">
        <x:v>IDEIA CLARA EDUCACAO E ARTES LTDA</x:v>
      </x:c>
      <x:c r="J4" s="4"/>
    </x:row>
    <x:row r="5" ht="26.399999618530273" hidden="0" customHeight="1">
      <x:c r="A5" s="4" t="n">
        <x:v>273</x:v>
      </x:c>
      <x:c r="B5" s="4"/>
      <x:c r="C5" s="8" t="n">
        <x:v>2026</x:v>
      </x:c>
      <x:c r="D5" s="4" t="str">
        <x:v>Compra direta</x:v>
      </x:c>
      <x:c r="E5" s="6" t="str">
        <x:v>Aquisição de 1.200 (mil e duzentos) parafusos curtos Phillips M4 x 10mm com porcas inox chato, para fixação das prateleiras de aço das estantes da biblioteca, com entrega integral</x:v>
      </x:c>
      <x:c r="F5" s="4" t="str">
        <x:v>Concluído</x:v>
      </x:c>
      <x:c r="G5" s="7" t="n">
        <x:v>1176</x:v>
      </x:c>
      <x:c r="H5" s="7" t="n">
        <x:v>540</x:v>
      </x:c>
      <x:c r="I5" s="4" t="str">
        <x:v>CRIATIVA SOLUCOES PARA CONSTRUCAO LTDA</x:v>
      </x:c>
      <x:c r="J5" s="4"/>
    </x:row>
    <x:row r="6" ht="15" hidden="0" customHeight="1">
      <x:c r="A6" s="4" t="n">
        <x:v>272</x:v>
      </x:c>
      <x:c r="B6" s="4"/>
      <x:c r="C6" s="8" t="n">
        <x:v>2026</x:v>
      </x:c>
      <x:c r="D6" s="4" t="str">
        <x:v>Compra direta</x:v>
      </x:c>
      <x:c r="E6" s="6" t="str">
        <x:v>cartões de memória, modelo SDXC UHS-II V90 64 GB</x:v>
      </x:c>
      <x:c r="F6" s="4" t="str">
        <x:v>Concluído</x:v>
      </x:c>
      <x:c r="G6" s="7" t="n">
        <x:v>4657.45</x:v>
      </x:c>
      <x:c r="H6" s="7" t="n">
        <x:v>4495</x:v>
      </x:c>
      <x:c r="I6" s="4" t="str">
        <x:v>DBTA PRO LTDA</x:v>
      </x:c>
      <x:c r="J6" s="4"/>
    </x:row>
    <x:row r="7" ht="15" hidden="0" customHeight="1">
      <x:c r="A7" s="4" t="n">
        <x:v>261</x:v>
      </x:c>
      <x:c r="B7" s="4"/>
      <x:c r="C7" s="8" t="n">
        <x:v>2026</x:v>
      </x:c>
      <x:c r="D7" s="4" t="str">
        <x:v>Compra direta</x:v>
      </x:c>
      <x:c r="E7" s="6" t="str">
        <x:v>Medicamentos e insumos</x:v>
      </x:c>
      <x:c r="F7" s="4" t="str">
        <x:v>Concluído</x:v>
      </x:c>
      <x:c r="G7" s="7" t="n">
        <x:v>5529.3</x:v>
      </x:c>
      <x:c r="H7" s="7" t="n">
        <x:v>5529.3</x:v>
      </x:c>
      <x:c r="I7" s="4" t="str">
        <x:v>DROGARIA GAVEA LTDA -EPP</x:v>
      </x:c>
      <x:c r="J7" s="4"/>
    </x:row>
    <x:row r="8" ht="43.20000076293945" hidden="0" customHeight="1">
      <x:c r="A8" s="4" t="n">
        <x:v>225</x:v>
      </x:c>
      <x:c r="B8" s="4"/>
      <x:c r="C8" s="8" t="n">
        <x:v>2026</x:v>
      </x:c>
      <x:c r="D8" s="4" t="str">
        <x:v>Compra direta</x:v>
      </x:c>
      <x:c r="E8" s="6" t="str">
        <x:v>Aquisição de insumos destinados à lavagem e conservação dos
veículos oficiais, com entrega integral, sendo eles:
</x:v>
      </x:c>
      <x:c r="F8" s="4" t="str">
        <x:v>Concluído</x:v>
      </x:c>
      <x:c r="G8" s="7" t="n">
        <x:v>2764.7</x:v>
      </x:c>
      <x:c r="H8" s="7" t="n">
        <x:v>2455</x:v>
      </x:c>
      <x:c r="I8" s="4" t="str">
        <x:v>TRG COMERCIO DE PRODUTOS AUTOMOTIVOS LTDA</x:v>
      </x:c>
      <x:c r="J8" s="4"/>
    </x:row>
    <x:row r="9" ht="39.599998474121094" hidden="0" customHeight="1">
      <x:c r="A9" s="4" t="n">
        <x:v>223</x:v>
      </x:c>
      <x:c r="B9" s="4"/>
      <x:c r="C9" s="8" t="n">
        <x:v>2026</x:v>
      </x:c>
      <x:c r="D9" s="4" t="str">
        <x:v>Compra direta</x:v>
      </x:c>
      <x:c r="E9" s="6" t="str">
        <x:v>Contratação de empresa especializada na elaboração de projeto de Arquitetura e Engenharia para a modernização do Plenário Milton Campos, localizado no Edifício Sede do TCEMG (SEI 26.0.000004830-4).</x:v>
      </x:c>
      <x:c r="F9" s="4" t="str">
        <x:v>Concluído</x:v>
      </x:c>
      <x:c r="G9" s="7" t="n">
        <x:v>33000</x:v>
      </x:c>
      <x:c r="H9" s="7" t="n">
        <x:v>33000</x:v>
      </x:c>
      <x:c r="I9" s="4" t="str">
        <x:v>ARKI ARQUITETURA LTDA</x:v>
      </x:c>
      <x:c r="J9" s="4"/>
    </x:row>
    <x:row r="10" ht="39.599998474121094" hidden="0" customHeight="1">
      <x:c r="A10" s="4" t="n">
        <x:v>222</x:v>
      </x:c>
      <x:c r="B10" s="4"/>
      <x:c r="C10" s="8" t="n">
        <x:v>2026</x:v>
      </x:c>
      <x:c r="D10" s="4" t="str">
        <x:v>Compra direta</x:v>
      </x:c>
      <x:c r="E10" s="6" t="str">
        <x:v>Aquisição de materiais, com entrega imediata, de diversos tipos, conforme item 1.1. deste Termo de Referência para utilização e aplicação no Tribunal de Contas do Estado de Minas Gerais (TCEMG).</x:v>
      </x:c>
      <x:c r="F10" s="4" t="str">
        <x:v>Concluído</x:v>
      </x:c>
      <x:c r="G10" s="7" t="n">
        <x:v>14326.16</x:v>
      </x:c>
      <x:c r="H10" s="7" t="n">
        <x:v>14195</x:v>
      </x:c>
      <x:c r="I10" s="4" t="str">
        <x:v>COMERCIAL DA CONSTRUCAO E UTILIDADES AMIGAO LTDA</x:v>
      </x:c>
      <x:c r="J10" s="4"/>
    </x:row>
    <x:row r="11" ht="26.399999618530273" hidden="0" customHeight="1">
      <x:c r="A11" s="4" t="n">
        <x:v>207</x:v>
      </x:c>
      <x:c r="B11" s="4"/>
      <x:c r="C11" s="8" t="n">
        <x:v>2026</x:v>
      </x:c>
      <x:c r="D11" s="4" t="str">
        <x:v>Compra direta</x:v>
      </x:c>
      <x:c r="E11" s="6" t="str">
        <x:v>Fornecimento de infraestrutura de eventos para o 1º Encontro de Prefeitos dos Vales Mucuri e Jequitinhonha &amp; Fórum UFVJM de Gestão Pública 4.0, em Diamantina/MG no dia 29/06 e 30/06</x:v>
      </x:c>
      <x:c r="F11" s="4" t="str">
        <x:v>Concluído</x:v>
      </x:c>
      <x:c r="G11" s="7" t="n">
        <x:v>20000</x:v>
      </x:c>
      <x:c r="H11" s="7" t="n">
        <x:v>20000</x:v>
      </x:c>
      <x:c r="I11" s="4" t="str">
        <x:v>11.640.969 LUIS FELIPE ARAUJO PIMENTA</x:v>
      </x:c>
      <x:c r="J11" s="4"/>
    </x:row>
    <x:row r="12" ht="26.399999618530273" hidden="0" customHeight="1">
      <x:c r="A12" s="4" t="n">
        <x:v>206</x:v>
      </x:c>
      <x:c r="B12" s="4"/>
      <x:c r="C12" s="8" t="n">
        <x:v>2026</x:v>
      </x:c>
      <x:c r="D12" s="4" t="str">
        <x:v>Compra direta</x:v>
      </x:c>
      <x:c r="E12" s="6" t="str">
        <x:v>Fornecimento de serviços de coffee break para o 1º Encontro de Prefeitos dos Vales Mucuri e Jequitinhonha &amp; Fórum UFVJM de Gestão Pública 4.</x:v>
      </x:c>
      <x:c r="F12" s="4" t="str">
        <x:v>Concluído</x:v>
      </x:c>
      <x:c r="G12" s="7" t="n">
        <x:v>19600</x:v>
      </x:c>
      <x:c r="H12" s="7" t="n">
        <x:v>19600</x:v>
      </x:c>
      <x:c r="I12" s="4" t="str">
        <x:v>LEONARDO ALVES DOS REIS 08978463622</x:v>
      </x:c>
      <x:c r="J12" s="4"/>
    </x:row>
    <x:row r="13" ht="52.79999923706055" hidden="0" customHeight="1">
      <x:c r="A13" s="4" t="n">
        <x:v>203</x:v>
      </x:c>
      <x:c r="B13" s="4"/>
      <x:c r="C13" s="8" t="n">
        <x:v>2026</x:v>
      </x:c>
      <x:c r="D13" s="4" t="str">
        <x:v>Compra direta</x:v>
      </x:c>
      <x:c r="E13" s="6" t="str">
        <x:v>Locação de 1 boxtruss em estrutura Q15 ou Q25, com 6m de largura x 2,50m de altura, montados no piso com disposição a definir.
Envelopado em lona com impressão 4 cores, acabamento em ilhós para fix</x:v>
      </x:c>
      <x:c r="F13" s="4" t="str">
        <x:v>Concluído</x:v>
      </x:c>
      <x:c r="G13" s="7" t="n">
        <x:v>2660</x:v>
      </x:c>
      <x:c r="H13" s="7" t="n">
        <x:v>2120</x:v>
      </x:c>
      <x:c r="I13" s="4" t="str">
        <x:v>PLOTACAD IMPRESSAO DIGITAL LTDA - ME</x:v>
      </x:c>
      <x:c r="J13" s="4"/>
    </x:row>
    <x:row r="14" ht="15" hidden="0" customHeight="1">
      <x:c r="A14" s="4" t="n">
        <x:v>199</x:v>
      </x:c>
      <x:c r="B14" s="4"/>
      <x:c r="C14" s="8" t="n">
        <x:v>2026</x:v>
      </x:c>
      <x:c r="D14" s="4" t="str">
        <x:v>Compra direta</x:v>
      </x:c>
      <x:c r="E14" s="6" t="str">
        <x:v>Confecção de 400 (quatrocentos) ventarolas.</x:v>
      </x:c>
      <x:c r="F14" s="4" t="str">
        <x:v>Concluído</x:v>
      </x:c>
      <x:c r="G14" s="7" t="n">
        <x:v>868</x:v>
      </x:c>
      <x:c r="H14" s="7" t="n">
        <x:v>868</x:v>
      </x:c>
      <x:c r="I14" s="4" t="str">
        <x:v>MEGA GRAFICA OFFSET LTDA - ME</x:v>
      </x:c>
      <x:c r="J14" s="4"/>
    </x:row>
    <x:row r="15" ht="26.399999618530273" hidden="0" customHeight="1">
      <x:c r="A15" s="4" t="n">
        <x:v>196</x:v>
      </x:c>
      <x:c r="B15" s="4"/>
      <x:c r="C15" s="8" t="n">
        <x:v>2026</x:v>
      </x:c>
      <x:c r="D15" s="4" t="str">
        <x:v>Compra direta</x:v>
      </x:c>
      <x:c r="E15" s="6" t="str">
        <x:v>Lixeiras individuais na cor VERDE para armazenamento de vidros visando a coleta seletiva e reciclagem deste material</x:v>
      </x:c>
      <x:c r="F15" s="4" t="str">
        <x:v>Concluído</x:v>
      </x:c>
      <x:c r="G15" s="7" t="n">
        <x:v>1665.8</x:v>
      </x:c>
      <x:c r="H15" s="7" t="n">
        <x:v>1393</x:v>
      </x:c>
      <x:c r="I15" s="4" t="str">
        <x:v>GERBRA COMERCIO LTDA - ME</x:v>
      </x:c>
      <x:c r="J15" s="4"/>
    </x:row>
    <x:row r="16" ht="39.599998474121094" hidden="0" customHeight="1">
      <x:c r="A16" s="4" t="n">
        <x:v>193</x:v>
      </x:c>
      <x:c r="B16" s="4"/>
      <x:c r="C16" s="8" t="n">
        <x:v>2026</x:v>
      </x:c>
      <x:c r="D16" s="4" t="str">
        <x:v>Compra direta</x:v>
      </x:c>
      <x:c r="E16" s="6" t="str">
        <x:v>Contratação de empresa especializada na prestação de serviços de locação de estrutura de boxtruss para o evento "Semana do Orgulho LGBTQIAPN+", a ser realizado no dia 23 de junho de 2026, no TCEMG.</x:v>
      </x:c>
      <x:c r="F16" s="4" t="str">
        <x:v>Concluído</x:v>
      </x:c>
      <x:c r="G16" s="7" t="n">
        <x:v>2660</x:v>
      </x:c>
      <x:c r="H16" s="7" t="n">
        <x:v>2660</x:v>
      </x:c>
      <x:c r="I16" s="4" t="str">
        <x:v>SNC ESTRUTURAS E EVENTOS LTDA - EPP</x:v>
      </x:c>
      <x:c r="J16" s="4"/>
    </x:row>
    <x:row r="17" ht="39.599998474121094" hidden="0" customHeight="1">
      <x:c r="A17" s="4" t="n">
        <x:v>178</x:v>
      </x:c>
      <x:c r="B17" s="4"/>
      <x:c r="C17" s="8" t="n">
        <x:v>2026</x:v>
      </x:c>
      <x:c r="D17" s="4" t="str">
        <x:v>Compra direta</x:v>
      </x:c>
      <x:c r="E17" s="6" t="str">
        <x:v>Contratação de empresa que forneça serviços de coffee break, com pessoal, estrutura, mobiliário e vasilhame, para atender demanda que ocorrerá no dia 27 de outubro de 2026, no Palácio das Artes.</x:v>
      </x:c>
      <x:c r="F17" s="4" t="str">
        <x:v>Concluído</x:v>
      </x:c>
      <x:c r="G17" s="7" t="n">
        <x:v>41228.9</x:v>
      </x:c>
      <x:c r="H17" s="7" t="n">
        <x:v>32970</x:v>
      </x:c>
      <x:c r="I17" s="4" t="str">
        <x:v>MARILIA DE DIRCEU INDUSTRIA E COMERCIO DE ALIMENTOS LTDA - EPP</x:v>
      </x:c>
      <x:c r="J17" s="4"/>
    </x:row>
    <x:row r="18" ht="15" hidden="0" customHeight="1">
      <x:c r="A18" s="4" t="n">
        <x:v>176</x:v>
      </x:c>
      <x:c r="B18" s="4"/>
      <x:c r="C18" s="8" t="n">
        <x:v>2026</x:v>
      </x:c>
      <x:c r="D18" s="4" t="str">
        <x:v>Compra direta</x:v>
      </x:c>
      <x:c r="E18" s="6" t="str">
        <x:v>Aquisição de 20 rolos de Fita Velcro, com entrega integral.</x:v>
      </x:c>
      <x:c r="F18" s="4" t="str">
        <x:v>Concluído</x:v>
      </x:c>
      <x:c r="G18" s="7" t="n">
        <x:v>1981.8</x:v>
      </x:c>
      <x:c r="H18" s="7" t="n">
        <x:v>1959.8</x:v>
      </x:c>
      <x:c r="I18" s="4" t="str">
        <x:v>B. VINICIUS MARTINS COMERCIO DE ARTIGOS PARA CALCADOS</x:v>
      </x:c>
      <x:c r="J18" s="4"/>
    </x:row>
    <x:row r="19" ht="39.599998474121094" hidden="0" customHeight="1">
      <x:c r="A19" s="4" t="n">
        <x:v>155</x:v>
      </x:c>
      <x:c r="B19" s="4"/>
      <x:c r="C19" s="8" t="n">
        <x:v>2026</x:v>
      </x:c>
      <x:c r="D19" s="4" t="str">
        <x:v>Compra direta</x:v>
      </x:c>
      <x:c r="E19" s="6" t="str">
        <x:v>Aquisição de UTENSÍLIOS de copa/cozinha para uso das copas da Presidência, das autoridades do Tribunal de Contas o, visando garantir o fornecimento de almoço da Presidência e café para as autoridades,</x:v>
      </x:c>
      <x:c r="F19" s="4" t="str">
        <x:v>Concluído</x:v>
      </x:c>
      <x:c r="G19" s="7" t="n">
        <x:v>2152.5</x:v>
      </x:c>
      <x:c r="H19" s="7" t="n">
        <x:v>2127</x:v>
      </x:c>
      <x:c r="I19" s="4" t="str">
        <x:v>ORMIMAQ ORGANIZACAO MINEIRA DE MAQUINAS LTDA</x:v>
      </x:c>
      <x:c r="J19" s="4"/>
    </x:row>
    <x:row r="20" ht="26.399999618530273" hidden="0" customHeight="1">
      <x:c r="A20" s="4" t="n">
        <x:v>142</x:v>
      </x:c>
      <x:c r="B20" s="4"/>
      <x:c r="C20" s="8" t="n">
        <x:v>2026</x:v>
      </x:c>
      <x:c r="D20" s="4" t="str">
        <x:v>Compra direta</x:v>
      </x:c>
      <x:c r="E20" s="6" t="str">
        <x:v>Aquisição de 23 (vinte e três) conjuntos pedagógicos de conscientização ambiental (Kit Lixeira Educativa)</x:v>
      </x:c>
      <x:c r="F20" s="4" t="str">
        <x:v>Concluído</x:v>
      </x:c>
      <x:c r="G20" s="7" t="n">
        <x:v>2435.93</x:v>
      </x:c>
      <x:c r="H20" s="7" t="n">
        <x:v>2069.77</x:v>
      </x:c>
      <x:c r="I20" s="4" t="str">
        <x:v>JULU BRINQUEDOS EDUCATIVOS LTDA</x:v>
      </x:c>
      <x:c r="J20" s="4"/>
    </x:row>
    <x:row r="21" ht="26.399999618530273" hidden="0" customHeight="1">
      <x:c r="A21" s="4" t="n">
        <x:v>141</x:v>
      </x:c>
      <x:c r="B21" s="4"/>
      <x:c r="C21" s="8" t="n">
        <x:v>2026</x:v>
      </x:c>
      <x:c r="D21" s="4" t="str">
        <x:v>Compra direta</x:v>
      </x:c>
      <x:c r="E21" s="6" t="str">
        <x:v>Locação de 200 cadeiras a serem entregues no Tribunal de Contas do Estado de Minas Gerais (TCE/MG), até às 12h do dia 27/05/2026, devendo ser retiradas as 8h do dia 30/05/2026</x:v>
      </x:c>
      <x:c r="F21" s="4" t="str">
        <x:v>Concluído</x:v>
      </x:c>
      <x:c r="G21" s="7" t="n">
        <x:v>1474</x:v>
      </x:c>
      <x:c r="H21" s="7" t="n">
        <x:v>1300</x:v>
      </x:c>
      <x:c r="I21" s="4" t="str">
        <x:v>G L T MOREIRA LOCACOES E EVENTOS</x:v>
      </x:c>
      <x:c r="J21" s="4"/>
    </x:row>
    <x:row r="22" ht="26.399999618530273" hidden="0" customHeight="1">
      <x:c r="A22" s="4" t="n">
        <x:v>140</x:v>
      </x:c>
      <x:c r="B22" s="4"/>
      <x:c r="C22" s="8" t="n">
        <x:v>2026</x:v>
      </x:c>
      <x:c r="D22" s="4" t="str">
        <x:v>Compra direta</x:v>
      </x:c>
      <x:c r="E22" s="6" t="str">
        <x:v>Aquisição de 43 (quarenta e três) foneS de ouvido intra-auriculares de borracha clara (transparente), microfone e botão PTT integrados, de fabricação original Motorola.</x:v>
      </x:c>
      <x:c r="F22" s="4" t="str">
        <x:v>Concluído</x:v>
      </x:c>
      <x:c r="G22" s="7" t="n">
        <x:v>18576</x:v>
      </x:c>
      <x:c r="H22" s="7" t="n">
        <x:v>18576</x:v>
      </x:c>
      <x:c r="I22" s="4" t="str">
        <x:v>ACENT RADIOS DE COMUNICACAO COMERCIO E SERVICOS LTDA</x:v>
      </x:c>
      <x:c r="J22" s="4"/>
    </x:row>
    <x:row r="23" ht="26.399999618530273" hidden="0" customHeight="1">
      <x:c r="A23" s="4" t="n">
        <x:v>134</x:v>
      </x:c>
      <x:c r="B23" s="4"/>
      <x:c r="C23" s="8" t="n">
        <x:v>2026</x:v>
      </x:c>
      <x:c r="D23" s="4" t="str">
        <x:v>Compra direta</x:v>
      </x:c>
      <x:c r="E23" s="6" t="str">
        <x:v>Fornecimento de balança digital tipo plataforma, capacidade de até 200kg, para pesagem de lixo e resíduos descartados no TCEMG.</x:v>
      </x:c>
      <x:c r="F23" s="4" t="str">
        <x:v>Concluído</x:v>
      </x:c>
      <x:c r="G23" s="7" t="n">
        <x:v>2329.74</x:v>
      </x:c>
      <x:c r="H23" s="7" t="n">
        <x:v>2270</x:v>
      </x:c>
      <x:c r="I23" s="4" t="str">
        <x:v>BALANCAS NET COMERCIO DE BALANCAS LTDA</x:v>
      </x:c>
      <x:c r="J23" s="4"/>
    </x:row>
    <x:row r="24" ht="26.399999618530273" hidden="0" customHeight="1">
      <x:c r="A24" s="4" t="n">
        <x:v>133</x:v>
      </x:c>
      <x:c r="B24" s="4"/>
      <x:c r="C24" s="8" t="n">
        <x:v>2026</x:v>
      </x:c>
      <x:c r="D24" s="4" t="str">
        <x:v>Compra direta</x:v>
      </x:c>
      <x:c r="E24" s="6" t="str">
        <x:v>Contratação de empresa especializada para fornecimento de placas de homenagem, com respectivos estojos</x:v>
      </x:c>
      <x:c r="F24" s="4" t="str">
        <x:v>Concluído</x:v>
      </x:c>
      <x:c r="G24" s="7" t="n">
        <x:v>636.36</x:v>
      </x:c>
      <x:c r="H24" s="7" t="n">
        <x:v>634</x:v>
      </x:c>
      <x:c r="I24" s="4" t="str">
        <x:v>WSM ACRILICOS LTDA</x:v>
      </x:c>
      <x:c r="J24" s="4"/>
    </x:row>
    <x:row r="25" ht="15" hidden="0" customHeight="1">
      <x:c r="A25" s="4" t="n">
        <x:v>130</x:v>
      </x:c>
      <x:c r="B25" s="4"/>
      <x:c r="C25" s="8" t="n">
        <x:v>2026</x:v>
      </x:c>
      <x:c r="D25" s="4" t="str">
        <x:v>Compra direta</x:v>
      </x:c>
      <x:c r="E25" s="6" t="str">
        <x:v>Confecção de 400 (quatrocentos) blocos personalizados.</x:v>
      </x:c>
      <x:c r="F25" s="4" t="str">
        <x:v>Concluído</x:v>
      </x:c>
      <x:c r="G25" s="7" t="n">
        <x:v>2520</x:v>
      </x:c>
      <x:c r="H25" s="7" t="n">
        <x:v>1824</x:v>
      </x:c>
      <x:c r="I25" s="4" t="str">
        <x:v>MEGA GRAFICA OFFSET LTDA - ME</x:v>
      </x:c>
      <x:c r="J25" s="4"/>
    </x:row>
    <x:row r="26" ht="43.20000076293945" hidden="0" customHeight="1">
      <x:c r="A26" s="4" t="n">
        <x:v>128</x:v>
      </x:c>
      <x:c r="B26" s="4"/>
      <x:c r="C26" s="8" t="n">
        <x:v>2026</x:v>
      </x:c>
      <x:c r="D26" s="4" t="str">
        <x:v>Compra direta</x:v>
      </x:c>
      <x:c r="E26" s="6" t="str">
        <x:v>Contratação de empresa especializada na confecção de 400 (quatrocentas)
unidades de canetas personalizadas.
</x:v>
      </x:c>
      <x:c r="F26" s="4" t="str">
        <x:v>Concluído</x:v>
      </x:c>
      <x:c r="G26" s="7" t="n">
        <x:v>1068</x:v>
      </x:c>
      <x:c r="H26" s="7" t="n">
        <x:v>668</x:v>
      </x:c>
      <x:c r="I26" s="4" t="str">
        <x:v>IJA BRINDES E MARKETING PROMOCIONAL LTDA</x:v>
      </x:c>
      <x:c r="J26" s="4"/>
    </x:row>
    <x:row r="27" ht="26.399999618530273" hidden="0" customHeight="1">
      <x:c r="A27" s="4" t="n">
        <x:v>126</x:v>
      </x:c>
      <x:c r="B27" s="4"/>
      <x:c r="C27" s="8" t="n">
        <x:v>2026</x:v>
      </x:c>
      <x:c r="D27" s="4" t="str">
        <x:v>Compra direta</x:v>
      </x:c>
      <x:c r="E27" s="6" t="str">
        <x:v>Contratação de empresa especializada para a confecção, fornecimento e instalação de elementos de comunicação visual, destinados à Campanha Institucional de Integridade.</x:v>
      </x:c>
      <x:c r="F27" s="4" t="str">
        <x:v>Concluído</x:v>
      </x:c>
      <x:c r="G27" s="7" t="n">
        <x:v>8668.33</x:v>
      </x:c>
      <x:c r="H27" s="7" t="n">
        <x:v>5600</x:v>
      </x:c>
      <x:c r="I27" s="4" t="str">
        <x:v>V+ COMUNICACAO VISUAL LTDA</x:v>
      </x:c>
      <x:c r="J27" s="4"/>
    </x:row>
    <x:row r="28" ht="15" hidden="0" customHeight="1">
      <x:c r="A28" s="4" t="n">
        <x:v>118</x:v>
      </x:c>
      <x:c r="B28" s="4"/>
      <x:c r="C28" s="8" t="n">
        <x:v>2026</x:v>
      </x:c>
      <x:c r="D28" s="4" t="str">
        <x:v>Compra direta</x:v>
      </x:c>
      <x:c r="E28" s="6" t="str">
        <x:v>Aquisição de 11 (onze) poltronas giratórias espaldar alto em couro, com entrega integral</x:v>
      </x:c>
      <x:c r="F28" s="4" t="str">
        <x:v>Concluído</x:v>
      </x:c>
      <x:c r="G28" s="7" t="n">
        <x:v>60500.04</x:v>
      </x:c>
      <x:c r="H28" s="7" t="n">
        <x:v>60500</x:v>
      </x:c>
      <x:c r="I28" s="4" t="str">
        <x:v>CENTRA MOVEIS S/A</x:v>
      </x:c>
      <x:c r="J28" s="4"/>
    </x:row>
    <x:row r="29" ht="15" hidden="0" customHeight="1">
      <x:c r="A29" s="4" t="n">
        <x:v>116</x:v>
      </x:c>
      <x:c r="B29" s="4"/>
      <x:c r="C29" s="8" t="n">
        <x:v>2026</x:v>
      </x:c>
      <x:c r="D29" s="4" t="str">
        <x:v>Compra direta</x:v>
      </x:c>
      <x:c r="E29" s="6" t="str">
        <x:v>CERTIFICADO DIGITAL SSL/TLS WILDCARD</x:v>
      </x:c>
      <x:c r="F29" s="4" t="str">
        <x:v>Concluído</x:v>
      </x:c>
      <x:c r="G29" s="7" t="n">
        <x:v>7849.92</x:v>
      </x:c>
      <x:c r="H29" s="7" t="n">
        <x:v>2500</x:v>
      </x:c>
      <x:c r="I29" s="4" t="str">
        <x:v>X.DIGITAL BRASIL SEGURANCA DA INFORMACAO LTDA</x:v>
      </x:c>
      <x:c r="J29" s="4"/>
    </x:row>
    <x:row r="30" ht="26.399999618530273" hidden="0" customHeight="1">
      <x:c r="A30" s="4" t="n">
        <x:v>115</x:v>
      </x:c>
      <x:c r="B30" s="4"/>
      <x:c r="C30" s="8" t="n">
        <x:v>2026</x:v>
      </x:c>
      <x:c r="D30" s="4" t="str">
        <x:v>Compra direta</x:v>
      </x:c>
      <x:c r="E30" s="6" t="str">
        <x:v>Customização de stands do TCEMG no evento 41º Congresso Mineiro de Municípios promovido pela Associação Mineira de Municípios - AMM</x:v>
      </x:c>
      <x:c r="F30" s="4" t="str">
        <x:v>Concluído</x:v>
      </x:c>
      <x:c r="G30" s="7" t="n">
        <x:v>23664.94</x:v>
      </x:c>
      <x:c r="H30" s="7" t="n">
        <x:v>23491.88</x:v>
      </x:c>
      <x:c r="I30" s="4" t="str">
        <x:v>FACILITY SOLUCOES EM MONTAGENS PARA EVENTOS LTDA</x:v>
      </x:c>
      <x:c r="J30" s="4"/>
    </x:row>
    <x:row r="31" ht="15" hidden="0" customHeight="1">
      <x:c r="A31" s="4" t="n">
        <x:v>114</x:v>
      </x:c>
      <x:c r="B31" s="4"/>
      <x:c r="C31" s="8" t="n">
        <x:v>2026</x:v>
      </x:c>
      <x:c r="D31" s="4" t="str">
        <x:v>Compra direta</x:v>
      </x:c>
      <x:c r="E31" s="6" t="str">
        <x:v>Confecção de 800 (oitocentas) unidades de lápis semente em cartela personalizada</x:v>
      </x:c>
      <x:c r="F31" s="4" t="str">
        <x:v>Concluído</x:v>
      </x:c>
      <x:c r="G31" s="7" t="n">
        <x:v>5584</x:v>
      </x:c>
      <x:c r="H31" s="7" t="n">
        <x:v>3544</x:v>
      </x:c>
      <x:c r="I31" s="4" t="str">
        <x:v>IJA BRINDES E MARKETING PROMOCIONAL LTDA</x:v>
      </x:c>
      <x:c r="J31" s="4"/>
    </x:row>
    <x:row r="32" ht="26.399999618530273" hidden="0" customHeight="1">
      <x:c r="A32" s="4" t="n">
        <x:v>111</x:v>
      </x:c>
      <x:c r="B32" s="4"/>
      <x:c r="C32" s="8" t="n">
        <x:v>2026</x:v>
      </x:c>
      <x:c r="D32" s="4" t="str">
        <x:v>Compra direta</x:v>
      </x:c>
      <x:c r="E32" s="6" t="str">
        <x:v>Aquisição de 04 máquinas de café elétricas industrial, com entrega integral, para atender as demandas das copas deste Tribunal.</x:v>
      </x:c>
      <x:c r="F32" s="4" t="str">
        <x:v>Concluído</x:v>
      </x:c>
      <x:c r="G32" s="7" t="n">
        <x:v>10800</x:v>
      </x:c>
      <x:c r="H32" s="7" t="n">
        <x:v>10800</x:v>
      </x:c>
      <x:c r="I32" s="4" t="str">
        <x:v>VARIMAQ EQUIPAMENTOS LTDA</x:v>
      </x:c>
      <x:c r="J32" s="4"/>
    </x:row>
    <x:row r="33" ht="26.399999618530273" hidden="0" customHeight="1">
      <x:c r="A33" s="4" t="n">
        <x:v>108</x:v>
      </x:c>
      <x:c r="B33" s="4"/>
      <x:c r="C33" s="8" t="n">
        <x:v>2026</x:v>
      </x:c>
      <x:c r="D33" s="4" t="str">
        <x:v>Compra direta</x:v>
      </x:c>
      <x:c r="E33" s="6" t="str">
        <x:v>Manutenção corretiva, com reposição de peças, no aparelho celular institucional Samsung Galaxy S23 Ultra 5G, patrimônio nº 12769904-0.</x:v>
      </x:c>
      <x:c r="F33" s="4" t="str">
        <x:v>Concluído</x:v>
      </x:c>
      <x:c r="G33" s="7" t="n">
        <x:v>2530</x:v>
      </x:c>
      <x:c r="H33" s="7" t="n">
        <x:v>2530</x:v>
      </x:c>
      <x:c r="I33" s="4" t="str">
        <x:v>CELL PHONE ASSISTENCIA TECNICA LTDA</x:v>
      </x:c>
      <x:c r="J33" s="4"/>
    </x:row>
    <x:row r="34" ht="39.599998474121094" hidden="0" customHeight="1">
      <x:c r="A34" s="4" t="n">
        <x:v>105</x:v>
      </x:c>
      <x:c r="B34" s="4"/>
      <x:c r="C34" s="8" t="n">
        <x:v>2026</x:v>
      </x:c>
      <x:c r="D34" s="4" t="str">
        <x:v>Compra direta</x:v>
      </x:c>
      <x:c r="E34" s="6" t="str">
        <x:v>Contratação de empresa especializada na prestação dos serviços gráficos de impressão de 400 (quatrocentos) crachás e 30 (trinta) credenciais para o XII Fórum Nacional de Bibliotecários e Arquivistas.</x:v>
      </x:c>
      <x:c r="F34" s="4" t="str">
        <x:v>Concluído</x:v>
      </x:c>
      <x:c r="G34" s="7" t="n">
        <x:v>709.5</x:v>
      </x:c>
      <x:c r="H34" s="7" t="n">
        <x:v>635</x:v>
      </x:c>
      <x:c r="I34" s="4" t="str">
        <x:v>A EDITORA LTDA</x:v>
      </x:c>
      <x:c r="J34" s="4"/>
    </x:row>
    <x:row r="35" ht="15" hidden="0" customHeight="1">
      <x:c r="A35" s="4" t="n">
        <x:v>102</x:v>
      </x:c>
      <x:c r="B35" s="4"/>
      <x:c r="C35" s="8" t="n">
        <x:v>2026</x:v>
      </x:c>
      <x:c r="D35" s="4" t="str">
        <x:v>Compra direta</x:v>
      </x:c>
      <x:c r="E35" s="6" t="str">
        <x:v>Confecção de 300 (trezentas) unidades de canetas personalizadas</x:v>
      </x:c>
      <x:c r="F35" s="4" t="str">
        <x:v>Concluído</x:v>
      </x:c>
      <x:c r="G35" s="7" t="n">
        <x:v>834</x:v>
      </x:c>
      <x:c r="H35" s="7" t="n">
        <x:v>573</x:v>
      </x:c>
      <x:c r="I35" s="4" t="str">
        <x:v>IJA BRINDES E MARKETING PROMOCIONAL LTDA</x:v>
      </x:c>
      <x:c r="J35" s="4"/>
    </x:row>
    <x:row r="36" ht="26.399999618530273" hidden="0" customHeight="1">
      <x:c r="A36" s="4" t="n">
        <x:v>99</x:v>
      </x:c>
      <x:c r="B36" s="4"/>
      <x:c r="C36" s="8" t="n">
        <x:v>2026</x:v>
      </x:c>
      <x:c r="D36" s="4" t="str">
        <x:v>Compra direta</x:v>
      </x:c>
      <x:c r="E36" s="6" t="str">
        <x:v>Confecção de pastas personalizadas em razão da realização do "Encontro de Auditores de Controle Externo", no dia 27 de abril de 2026 no Tribunal.</x:v>
      </x:c>
      <x:c r="F36" s="4" t="str">
        <x:v>Concluído</x:v>
      </x:c>
      <x:c r="G36" s="7" t="n">
        <x:v>2271</x:v>
      </x:c>
      <x:c r="H36" s="7" t="n">
        <x:v>2250</x:v>
      </x:c>
      <x:c r="I36" s="4" t="str">
        <x:v>AMERICA PLASTICOS E BRINDES COMERCIO E INDUSTRIA LTDA</x:v>
      </x:c>
      <x:c r="J36" s="4"/>
    </x:row>
    <x:row r="37" ht="15" hidden="0" customHeight="1">
      <x:c r="A37" s="4" t="n">
        <x:v>98</x:v>
      </x:c>
      <x:c r="B37" s="4"/>
      <x:c r="C37" s="8" t="n">
        <x:v>2026</x:v>
      </x:c>
      <x:c r="D37" s="4" t="str">
        <x:v>Compra direta</x:v>
      </x:c>
      <x:c r="E37" s="6" t="str">
        <x:v>A aquisição de 3.000 (três mil) bottons personalizados.</x:v>
      </x:c>
      <x:c r="F37" s="4" t="str">
        <x:v>Concluído</x:v>
      </x:c>
      <x:c r="G37" s="7" t="n">
        <x:v>858.78</x:v>
      </x:c>
      <x:c r="H37" s="7" t="n">
        <x:v>858.78</x:v>
      </x:c>
      <x:c r="I37" s="4" t="str">
        <x:v>REDE EDITORA GRAFICA LTDA</x:v>
      </x:c>
      <x:c r="J37" s="4"/>
    </x:row>
    <x:row r="38" ht="26.399999618530273" hidden="0" customHeight="1">
      <x:c r="A38" s="4" t="n">
        <x:v>97</x:v>
      </x:c>
      <x:c r="B38" s="4"/>
      <x:c r="C38" s="8" t="n">
        <x:v>2026</x:v>
      </x:c>
      <x:c r="D38" s="4" t="str">
        <x:v>Compra direta</x:v>
      </x:c>
      <x:c r="E38" s="6" t="str">
        <x:v>Aquisição de 01 (uma) impressora de cartões de identificação , bem como de 10 (dez) ribbons coloridos originais compatíveis  com a impressora</x:v>
      </x:c>
      <x:c r="F38" s="4" t="str">
        <x:v>Concluído</x:v>
      </x:c>
      <x:c r="G38" s="7" t="n">
        <x:v>12880.43</x:v>
      </x:c>
      <x:c r="H38" s="7" t="n">
        <x:v>12541.29</x:v>
      </x:c>
      <x:c r="I38" s="4" t="str">
        <x:v>PLAY DEVELOPER INFORMATICA LTDA</x:v>
      </x:c>
      <x:c r="J38" s="4"/>
    </x:row>
    <x:row r="39" ht="26.399999618530273" hidden="0" customHeight="1">
      <x:c r="A39" s="4" t="n">
        <x:v>96</x:v>
      </x:c>
      <x:c r="B39" s="4"/>
      <x:c r="C39" s="8" t="n">
        <x:v>2026</x:v>
      </x:c>
      <x:c r="D39" s="4" t="str">
        <x:v>Compra direta</x:v>
      </x:c>
      <x:c r="E39" s="6" t="str">
        <x:v>Aquisição de pins institucionais personalizados, destinados à promoção de ações institucionais e uso em solenidades oficiais.</x:v>
      </x:c>
      <x:c r="F39" s="4" t="str">
        <x:v>Concluído</x:v>
      </x:c>
      <x:c r="G39" s="7" t="n">
        <x:v>12708</x:v>
      </x:c>
      <x:c r="H39" s="7" t="n">
        <x:v>7600</x:v>
      </x:c>
      <x:c r="I39" s="4" t="str">
        <x:v>METALVEST INDUSTRIA E COMERCIO LTDA - EPP</x:v>
      </x:c>
      <x:c r="J39" s="4"/>
    </x:row>
    <x:row r="40" ht="56.400001525878906" hidden="0" customHeight="1">
      <x:c r="A40" s="4" t="n">
        <x:v>93</x:v>
      </x:c>
      <x:c r="B40" s="4"/>
      <x:c r="C40" s="8" t="n">
        <x:v>2026</x:v>
      </x:c>
      <x:c r="D40" s="4" t="str">
        <x:v>Compra direta</x:v>
      </x:c>
      <x:c r="E40" s="6" t="str">
        <x:v>Confecção de 10.000 (dez mil) bottons para o credenciamento e a adequada organização do público nos eventos realizados pelo TCEMG, com artes e especificações distintas.
</x:v>
      </x:c>
      <x:c r="F40" s="4" t="str">
        <x:v>Concluído</x:v>
      </x:c>
      <x:c r="G40" s="7" t="n">
        <x:v>1221.16</x:v>
      </x:c>
      <x:c r="H40" s="7" t="n">
        <x:v>1050</x:v>
      </x:c>
      <x:c r="I40" s="4" t="str">
        <x:v>REDE EDITORA GRAFICA LTDA</x:v>
      </x:c>
      <x:c r="J40" s="4"/>
    </x:row>
    <x:row r="41" ht="39.599998474121094" hidden="0" customHeight="1">
      <x:c r="A41" s="4" t="n">
        <x:v>92</x:v>
      </x:c>
      <x:c r="B41" s="4" t="str">
        <x:v>9512392</x:v>
      </x:c>
      <x:c r="C41" s="8" t="n">
        <x:v>2026</x:v>
      </x:c>
      <x:c r="D41" s="4" t="str">
        <x:v>Compra direta</x:v>
      </x:c>
      <x:c r="E41" s="6" t="str">
        <x:v>Subscrição de Licença de software e extensão de texto para fala (TTS) que transforma texto escrito em áudio com vozes naturais, utilizando IA para criar locuções realistas para auxiliar pessoas com de</x:v>
      </x:c>
      <x:c r="F41" s="4" t="str">
        <x:v>Concluído</x:v>
      </x:c>
      <x:c r="G41" s="7" t="n">
        <x:v>973.3</x:v>
      </x:c>
      <x:c r="H41" s="7" t="n">
        <x:v>850</x:v>
      </x:c>
      <x:c r="I41" s="4" t="str">
        <x:v>REFERENCE TECNOLOGIA DA INFORMACAO LTDA</x:v>
      </x:c>
      <x:c r="J41" s="4"/>
    </x:row>
    <x:row r="42" ht="39.599998474121094" hidden="0" customHeight="1">
      <x:c r="A42" s="4" t="n">
        <x:v>91</x:v>
      </x:c>
      <x:c r="B42" s="4"/>
      <x:c r="C42" s="8" t="n">
        <x:v>2026</x:v>
      </x:c>
      <x:c r="D42" s="4" t="str">
        <x:v>Compra direta</x:v>
      </x:c>
      <x:c r="E42" s="6" t="str">
        <x:v>Confecção de 300 (trezentos) blocos personalizados, destinadas ao evento
"Encontro de Auditores de Controle Externo", a ser realizado no dia 27 de abril de
2026, nas dependências do Tribunal.</x:v>
      </x:c>
      <x:c r="F42" s="4" t="str">
        <x:v>Concluído</x:v>
      </x:c>
      <x:c r="G42" s="7" t="n">
        <x:v>1296</x:v>
      </x:c>
      <x:c r="H42" s="7" t="n">
        <x:v>1296</x:v>
      </x:c>
      <x:c r="I42" s="4" t="str">
        <x:v>MEGA GRAFICA OFFSET LTDA - ME</x:v>
      </x:c>
      <x:c r="J42" s="4"/>
    </x:row>
    <x:row r="43" ht="39.599998474121094" hidden="0" customHeight="1">
      <x:c r="A43" s="4" t="n">
        <x:v>90</x:v>
      </x:c>
      <x:c r="B43" s="4"/>
      <x:c r="C43" s="8" t="n">
        <x:v>2026</x:v>
      </x:c>
      <x:c r="D43" s="4" t="str">
        <x:v>Compra direta</x:v>
      </x:c>
      <x:c r="E43" s="6" t="str">
        <x:v>Confecção de 300 (trezentos) blocos personalizados, destinadas ao evento
"Encontro de Auditores de Controle Externo", a ser realizado no dia 27 de abril de
2026, nas dependências do Tribunal.</x:v>
      </x:c>
      <x:c r="F43" s="4" t="str">
        <x:v>Concluído</x:v>
      </x:c>
      <x:c r="G43" s="7" t="n">
        <x:v>1296</x:v>
      </x:c>
      <x:c r="H43" s="7" t="n">
        <x:v>834</x:v>
      </x:c>
      <x:c r="I43" s="4" t="str">
        <x:v>MEGA GRAFICA OFFSET LTDA - ME</x:v>
      </x:c>
      <x:c r="J43" s="4"/>
    </x:row>
    <x:row r="44" ht="15" hidden="0" customHeight="1">
      <x:c r="A44" s="4" t="n">
        <x:v>86</x:v>
      </x:c>
      <x:c r="B44" s="4"/>
      <x:c r="C44" s="8" t="n">
        <x:v>2026</x:v>
      </x:c>
      <x:c r="D44" s="4" t="str">
        <x:v>Compra direta</x:v>
      </x:c>
      <x:c r="E44" s="6" t="str">
        <x:v>Aquisição de 100 envelopes personalizados e confecção de 100 cartazes.</x:v>
      </x:c>
      <x:c r="F44" s="4" t="str">
        <x:v>Concluído</x:v>
      </x:c>
      <x:c r="G44" s="7" t="n">
        <x:v>2668.67</x:v>
      </x:c>
      <x:c r="H44" s="7" t="n">
        <x:v>1909</x:v>
      </x:c>
      <x:c r="I44" s="4" t="str">
        <x:v>REDE EDITORA GRAFICA LTDA</x:v>
      </x:c>
      <x:c r="J44" s="4"/>
    </x:row>
    <x:row r="45" ht="39.599998474121094" hidden="0" customHeight="1">
      <x:c r="A45" s="4" t="n">
        <x:v>84</x:v>
      </x:c>
      <x:c r="B45" s="4"/>
      <x:c r="C45" s="8" t="n">
        <x:v>2026</x:v>
      </x:c>
      <x:c r="D45" s="4" t="str">
        <x:v>Compra direta</x:v>
      </x:c>
      <x:c r="E45" s="6" t="str">
        <x:v>Conforme descrito no processo SEI - 26.0.000001205-9.
MOVEL EXPOSITOR - UTILIZACAO: EXPOSICAO DE OBJETOS E OBRAS DE ARTE; MODELO: CAIXA
BOX; MEDIDA: 50CM X 50CM X 120CM (TAMNAHO GRANDE); MATERIA-PRI</x:v>
      </x:c>
      <x:c r="F45" s="4" t="str">
        <x:v>Concluído</x:v>
      </x:c>
      <x:c r="G45" s="7" t="n">
        <x:v>29900</x:v>
      </x:c>
      <x:c r="H45" s="7" t="n">
        <x:v>29900</x:v>
      </x:c>
      <x:c r="I45" s="4" t="str">
        <x:v>MOBILETTO INDUSTRIA E COMERCIO LTDA -EPP</x:v>
      </x:c>
      <x:c r="J45" s="4"/>
    </x:row>
    <x:row r="46" ht="15" hidden="0" customHeight="1">
      <x:c r="A46" s="4" t="n">
        <x:v>83</x:v>
      </x:c>
      <x:c r="B46" s="4"/>
      <x:c r="C46" s="8" t="n">
        <x:v>2026</x:v>
      </x:c>
      <x:c r="D46" s="4" t="str">
        <x:v>Compra direta</x:v>
      </x:c>
      <x:c r="E46" s="6" t="str">
        <x:v>Trofeus e placa de honraria, itens fracassados na Cotep 1021007 53/2026.</x:v>
      </x:c>
      <x:c r="F46" s="4" t="str">
        <x:v>Concluído</x:v>
      </x:c>
      <x:c r="G46" s="7" t="n">
        <x:v>332.5</x:v>
      </x:c>
      <x:c r="H46" s="7" t="n">
        <x:v>0</x:v>
      </x:c>
      <x:c r="I46" s="4" t="str">
        <x:v>INEXISTENTE</x:v>
      </x:c>
      <x:c r="J46" s="4"/>
    </x:row>
    <x:row r="47" ht="15" hidden="0" customHeight="1">
      <x:c r="A47" s="4" t="n">
        <x:v>83</x:v>
      </x:c>
      <x:c r="B47" s="4"/>
      <x:c r="C47" s="8" t="n">
        <x:v>2026</x:v>
      </x:c>
      <x:c r="D47" s="4" t="str">
        <x:v>Compra direta</x:v>
      </x:c>
      <x:c r="E47" s="6" t="str">
        <x:v>Trofeus e placa de honraria, itens fracassados na Cotep 1021007 53/2026.</x:v>
      </x:c>
      <x:c r="F47" s="4" t="str">
        <x:v>Concluído</x:v>
      </x:c>
      <x:c r="G47" s="7" t="n">
        <x:v>622</x:v>
      </x:c>
      <x:c r="H47" s="7" t="n">
        <x:v>504</x:v>
      </x:c>
      <x:c r="I47" s="4" t="str">
        <x:v>WSM ACRILICOS LTDA</x:v>
      </x:c>
      <x:c r="J47" s="4"/>
    </x:row>
    <x:row r="48" ht="56.400001525878906" hidden="0" customHeight="1">
      <x:c r="A48" s="4" t="n">
        <x:v>82</x:v>
      </x:c>
      <x:c r="B48" s="4"/>
      <x:c r="C48" s="8" t="n">
        <x:v>2026</x:v>
      </x:c>
      <x:c r="D48" s="4" t="str">
        <x:v>Compra direta</x:v>
      </x:c>
      <x:c r="E48" s="6" t="str">
        <x:v>Serviços de marcenaria para confecção de móveis para a exposição do Núcleo de Cultura conforme
processo SEI - 26.0.000001205-9.
</x:v>
      </x:c>
      <x:c r="F48" s="4" t="str">
        <x:v>Concluído</x:v>
      </x:c>
      <x:c r="G48" s="7" t="n">
        <x:v>7000</x:v>
      </x:c>
      <x:c r="H48" s="7" t="n">
        <x:v>7000</x:v>
      </x:c>
      <x:c r="I48" s="4" t="str">
        <x:v>MOBILETTO INDUSTRIA E COMERCIO LTDA -EPP</x:v>
      </x:c>
      <x:c r="J48" s="4"/>
    </x:row>
    <x:row r="49" ht="26.399999618530273" hidden="0" customHeight="1">
      <x:c r="A49" s="4" t="n">
        <x:v>80</x:v>
      </x:c>
      <x:c r="B49" s="4"/>
      <x:c r="C49" s="8" t="n">
        <x:v>2026</x:v>
      </x:c>
      <x:c r="D49" s="4" t="str">
        <x:v>Compra direta</x:v>
      </x:c>
      <x:c r="E49" s="6" t="str">
        <x:v>Confecção de 300 (trezentos) crachás, destinados ao evento "Encontro de Auditores de Controle Externo", a ser realizado no dia 27 de abril de 2026, nas dependências do Tribunal.</x:v>
      </x:c>
      <x:c r="F49" s="4" t="str">
        <x:v>Concluído</x:v>
      </x:c>
      <x:c r="G49" s="7" t="n">
        <x:v>510</x:v>
      </x:c>
      <x:c r="H49" s="7" t="n">
        <x:v>460</x:v>
      </x:c>
      <x:c r="I49" s="4" t="str">
        <x:v>A EDITORA LTDA</x:v>
      </x:c>
      <x:c r="J49" s="4"/>
    </x:row>
    <x:row r="50" ht="39.599998474121094" hidden="0" customHeight="1">
      <x:c r="A50" s="4" t="n">
        <x:v>78</x:v>
      </x:c>
      <x:c r="B50" s="4"/>
      <x:c r="C50" s="8" t="n">
        <x:v>2026</x:v>
      </x:c>
      <x:c r="D50" s="4" t="str">
        <x:v>Compra direta</x:v>
      </x:c>
      <x:c r="E50" s="6" t="str">
        <x:v>Contratação de empresa especializada na prestação de serviços de locação de estrutura
de boxtruss para o evento XII Fórum Nacional de Bibliotecários e Arquivistas
(Bibliocontas), a ser realizado nos</x:v>
      </x:c>
      <x:c r="F50" s="4" t="str">
        <x:v>Concluído</x:v>
      </x:c>
      <x:c r="G50" s="7" t="n">
        <x:v>2120</x:v>
      </x:c>
      <x:c r="H50" s="7" t="n">
        <x:v>2120</x:v>
      </x:c>
      <x:c r="I50" s="4" t="str">
        <x:v>PLOTACAD IMPRESSAO DIGITAL LTDA - ME</x:v>
      </x:c>
      <x:c r="J50" s="4"/>
    </x:row>
    <x:row r="51" ht="26.399999618530273" hidden="0" customHeight="1">
      <x:c r="A51" s="4" t="n">
        <x:v>75</x:v>
      </x:c>
      <x:c r="B51" s="4"/>
      <x:c r="C51" s="8" t="n">
        <x:v>2026</x:v>
      </x:c>
      <x:c r="D51" s="4" t="str">
        <x:v>Compra direta</x:v>
      </x:c>
      <x:c r="E51" s="6" t="str">
        <x:v>Aquisição de tampa para caixa d'água de 25.000 litros para instalação no reservatório de água de chuva do Edifício Suricato.</x:v>
      </x:c>
      <x:c r="F51" s="4" t="str">
        <x:v>Concluído</x:v>
      </x:c>
      <x:c r="G51" s="7" t="n">
        <x:v>3532</x:v>
      </x:c>
      <x:c r="H51" s="7" t="n">
        <x:v>2883</x:v>
      </x:c>
      <x:c r="I51" s="4" t="str">
        <x:v>SHOPPISCINAS INDUSTRIA E COMERCIO LTDA -EPP</x:v>
      </x:c>
      <x:c r="J51" s="4"/>
    </x:row>
    <x:row r="52" ht="26.399999618530273" hidden="0" customHeight="1">
      <x:c r="A52" s="4" t="n">
        <x:v>65</x:v>
      </x:c>
      <x:c r="B52" s="4"/>
      <x:c r="C52" s="8" t="n">
        <x:v>2026</x:v>
      </x:c>
      <x:c r="D52" s="4" t="str">
        <x:v>Compra direta</x:v>
      </x:c>
      <x:c r="E52" s="6" t="str">
        <x:v>Aquisição de 02 (dois) quadros (lousa) de vidro temperado brancos magnéticos, com entrega integral (SEI 26.0.000000364-5)</x:v>
      </x:c>
      <x:c r="F52" s="4" t="str">
        <x:v>Concluído</x:v>
      </x:c>
      <x:c r="G52" s="7" t="n">
        <x:v>1647.36</x:v>
      </x:c>
      <x:c r="H52" s="7" t="n">
        <x:v>1432.32</x:v>
      </x:c>
      <x:c r="I52" s="4" t="str">
        <x:v>LOUSAS BRASIL COMERCIO DE QUADROS E ARTIGOS ESCOLARES LTDA</x:v>
      </x:c>
      <x:c r="J52" s="4"/>
    </x:row>
    <x:row r="53" ht="26.399999618530273" hidden="0" customHeight="1">
      <x:c r="A53" s="4" t="n">
        <x:v>63</x:v>
      </x:c>
      <x:c r="B53" s="4"/>
      <x:c r="C53" s="8" t="n">
        <x:v>2026</x:v>
      </x:c>
      <x:c r="D53" s="4" t="str">
        <x:v>Compra direta</x:v>
      </x:c>
      <x:c r="E53" s="6" t="str">
        <x:v>2.000 (dois mil) blocos para distribuição aos participantes nos Seminários Promovidos pelo TCE MG Cultural.</x:v>
      </x:c>
      <x:c r="F53" s="4" t="str">
        <x:v>Concluído</x:v>
      </x:c>
      <x:c r="G53" s="7" t="n">
        <x:v>7860</x:v>
      </x:c>
      <x:c r="H53" s="7" t="n">
        <x:v>5640</x:v>
      </x:c>
      <x:c r="I53" s="4" t="str">
        <x:v>MEGA GRAFICA OFFSET LTDA - ME</x:v>
      </x:c>
      <x:c r="J53" s="4"/>
    </x:row>
    <x:row r="54" ht="39.599998474121094" hidden="0" customHeight="1">
      <x:c r="A54" s="4" t="n">
        <x:v>62</x:v>
      </x:c>
      <x:c r="B54" s="4"/>
      <x:c r="C54" s="8" t="n">
        <x:v>2026</x:v>
      </x:c>
      <x:c r="D54" s="4" t="str">
        <x:v>Compra direta</x:v>
      </x:c>
      <x:c r="E54" s="6" t="str">
        <x:v>Contratação de empresa especializada na prestação de serviços de locação de estrutura de boxtruss para a realização dos Seminários: "Implementação dos Sistemas Municipais de Cultura"</x:v>
      </x:c>
      <x:c r="F54" s="4" t="str">
        <x:v>Concluído</x:v>
      </x:c>
      <x:c r="G54" s="7" t="n">
        <x:v>1930</x:v>
      </x:c>
      <x:c r="H54" s="7" t="n">
        <x:v>1930</x:v>
      </x:c>
      <x:c r="I54" s="4" t="str">
        <x:v>PLOTACAD IMPRESSAO DIGITAL LTDA - ME</x:v>
      </x:c>
      <x:c r="J54" s="4"/>
    </x:row>
    <x:row r="55" ht="39.599998474121094" hidden="0" customHeight="1">
      <x:c r="A55" s="4" t="n">
        <x:v>58</x:v>
      </x:c>
      <x:c r="B55" s="4" t="str">
        <x:v>9511189</x:v>
      </x:c>
      <x:c r="C55" s="8" t="n">
        <x:v>2026</x:v>
      </x:c>
      <x:c r="D55" s="4" t="str">
        <x:v>Compra direta</x:v>
      </x:c>
      <x:c r="E55" s="6" t="str">
        <x:v>Aquisição de 900 kg (novecentos quilogramas) de café torrado e moído, 100% (cem por cento) da espécie arábica, tipo gourmet, padrão de qualidade global entre 7,3 e 10, com entrega trimestralmente.</x:v>
      </x:c>
      <x:c r="F55" s="4" t="str">
        <x:v>Concluído</x:v>
      </x:c>
      <x:c r="G55" s="7" t="n">
        <x:v>64800</x:v>
      </x:c>
      <x:c r="H55" s="7" t="n">
        <x:v>62100</x:v>
      </x:c>
      <x:c r="I55" s="4" t="str">
        <x:v>EMPRESA DE PESQUISA AGROPECUARIA DE MINAS GERAIS - EPAMIG</x:v>
      </x:c>
      <x:c r="J55" s="4"/>
    </x:row>
    <x:row r="56" ht="26.399999618530273" hidden="0" customHeight="1">
      <x:c r="A56" s="4" t="n">
        <x:v>57</x:v>
      </x:c>
      <x:c r="B56" s="4"/>
      <x:c r="C56" s="8" t="n">
        <x:v>2026</x:v>
      </x:c>
      <x:c r="D56" s="4" t="str">
        <x:v>Compra direta</x:v>
      </x:c>
      <x:c r="E56" s="6" t="str">
        <x:v>Confecção de placas e de poste destinados à sinalização interna e externa do Tribunal, em conformidade com a ABNT NBR 16820 e com o Plano de Intervenção de Incêndio vigente.</x:v>
      </x:c>
      <x:c r="F56" s="4" t="str">
        <x:v>Concluído</x:v>
      </x:c>
      <x:c r="G56" s="7" t="n">
        <x:v>2476.61</x:v>
      </x:c>
      <x:c r="H56" s="7" t="n">
        <x:v>2159.9</x:v>
      </x:c>
      <x:c r="I56" s="4" t="str">
        <x:v>BRASIL INDUSTRIAL CONSTRUCOES LTDA</x:v>
      </x:c>
      <x:c r="J56" s="4"/>
    </x:row>
    <x:row r="57" ht="26.399999618530273" hidden="0" customHeight="1">
      <x:c r="A57" s="4" t="n">
        <x:v>54</x:v>
      </x:c>
      <x:c r="B57" s="4" t="str">
        <x:v>9504979</x:v>
      </x:c>
      <x:c r="C57" s="8" t="n">
        <x:v>2026</x:v>
      </x:c>
      <x:c r="D57" s="4" t="str">
        <x:v>Compra direta</x:v>
      </x:c>
      <x:c r="E57" s="6" t="str">
        <x:v>Serviços contínuos de gestão, coleta, armazenamento, transporte, tratamento e destinação final dos resíduos provenientes de lâmpadas LED, fluorescentes e de multivapores metálicos</x:v>
      </x:c>
      <x:c r="F57" s="4" t="str">
        <x:v>Concluído</x:v>
      </x:c>
      <x:c r="G57" s="7" t="n">
        <x:v>24504.6</x:v>
      </x:c>
      <x:c r="H57" s="7" t="n">
        <x:v>14490</x:v>
      </x:c>
      <x:c r="I57" s="4" t="str">
        <x:v>ATIVA MINAS GESTAO AMBIENTAL LTDA</x:v>
      </x:c>
      <x:c r="J57" s="4"/>
    </x:row>
    <x:row r="58" ht="66" hidden="0" customHeight="1">
      <x:c r="A58" s="4" t="n">
        <x:v>40</x:v>
      </x:c>
      <x:c r="B58" s="4"/>
      <x:c r="C58" s="8" t="n">
        <x:v>2026</x:v>
      </x:c>
      <x:c r="D58" s="4" t="str">
        <x:v>Compra direta</x:v>
      </x:c>
      <x:c r="E58" s="6" t="str">
        <x:v>Contratação de empresa especializada para a
prestação de serviços de manutenção em 10 (dez)
nobreaks, conforme anexo I, incluindo, substituição
de componentes defeituosos (quando necessário),
limp</x:v>
      </x:c>
      <x:c r="F58" s="4" t="str">
        <x:v>Concluído</x:v>
      </x:c>
      <x:c r="G58" s="7" t="n">
        <x:v>3640</x:v>
      </x:c>
      <x:c r="H58" s="7" t="n">
        <x:v>3640</x:v>
      </x:c>
      <x:c r="I58" s="4" t="str">
        <x:v>TECMINAS NOBREAKS E ESTABILIZADORES LTDA - ME</x:v>
      </x:c>
      <x:c r="J58" s="4"/>
    </x:row>
    <x:row r="59" ht="15" hidden="0" customHeight="1">
      <x:c r="A59" s="4" t="n">
        <x:v>21</x:v>
      </x:c>
      <x:c r="B59" s="4"/>
      <x:c r="C59" s="8" t="n">
        <x:v>2026</x:v>
      </x:c>
      <x:c r="D59" s="4" t="str">
        <x:v>Compra direta</x:v>
      </x:c>
      <x:c r="E59" s="6" t="str">
        <x:v>Aquisição de 39 vasos de polietileno reciclado com os respectivos pratos de rega</x:v>
      </x:c>
      <x:c r="F59" s="4" t="str">
        <x:v>Concluído</x:v>
      </x:c>
      <x:c r="G59" s="7" t="n">
        <x:v>8027.37</x:v>
      </x:c>
      <x:c r="H59" s="7" t="n">
        <x:v>5499</x:v>
      </x:c>
      <x:c r="I59" s="4" t="str">
        <x:v>FOSTER PLAST INDUSTRIA COMERCIO IMPORTACAO E EXPORTACAO DE PRODUTOS PLASTICOS LTDA</x:v>
      </x:c>
      <x:c r="J59" s="4"/>
    </x:row>
    <x:row r="60" ht="15" hidden="0" customHeight="1">
      <x:c r="A60" s="4" t="n">
        <x:v>20</x:v>
      </x:c>
      <x:c r="B60" s="4" t="str">
        <x:v>9498644</x:v>
      </x:c>
      <x:c r="C60" s="8" t="n">
        <x:v>2026</x:v>
      </x:c>
      <x:c r="D60" s="4" t="str">
        <x:v>Compra direta</x:v>
      </x:c>
      <x:c r="E60" s="6" t="str">
        <x:v>Prestação de serviços contínuos de e-mail marketing.</x:v>
      </x:c>
      <x:c r="F60" s="4" t="str">
        <x:v>Concluído</x:v>
      </x:c>
      <x:c r="G60" s="7" t="n">
        <x:v>15976.64</x:v>
      </x:c>
      <x:c r="H60" s="7" t="n">
        <x:v>6142.92</x:v>
      </x:c>
      <x:c r="I60" s="4" t="str">
        <x:v>HOMEMURBANO EIRELI</x:v>
      </x:c>
      <x:c r="J60" s="4"/>
    </x:row>
    <x:row r="61" ht="15" hidden="0" customHeight="1">
      <x:c r="A61" s="4" t="n">
        <x:v>20</x:v>
      </x:c>
      <x:c r="B61" s="4"/>
      <x:c r="C61" s="8" t="n">
        <x:v>2026</x:v>
      </x:c>
      <x:c r="D61" s="4" t="str">
        <x:v>Compra direta</x:v>
      </x:c>
      <x:c r="E61" s="6" t="str">
        <x:v>Coletes e camisas</x:v>
      </x:c>
      <x:c r="F61" s="4" t="str">
        <x:v>Concluído</x:v>
      </x:c>
      <x:c r="G61" s="7" t="n">
        <x:v>10007.53</x:v>
      </x:c>
      <x:c r="H61" s="7" t="n">
        <x:v>9930</x:v>
      </x:c>
      <x:c r="I61" s="4" t="str">
        <x:v>S.S.SILVA ALVO MILITAR LTDA</x:v>
      </x:c>
      <x:c r="J61" s="4"/>
    </x:row>
    <x:row r="62" ht="15" hidden="0" customHeight="1">
      <x:c r="A62" s="4" t="n">
        <x:v>19</x:v>
      </x:c>
      <x:c r="B62" s="4"/>
      <x:c r="C62" s="8" t="n">
        <x:v>2026</x:v>
      </x:c>
      <x:c r="D62" s="4" t="str">
        <x:v>Compra direta</x:v>
      </x:c>
      <x:c r="E62" s="6" t="str">
        <x:v>Uniformes para os motoristas</x:v>
      </x:c>
      <x:c r="F62" s="4" t="str">
        <x:v>Concluído</x:v>
      </x:c>
      <x:c r="G62" s="7" t="n">
        <x:v>18574.4</x:v>
      </x:c>
      <x:c r="H62" s="7" t="n">
        <x:v>14808.6</x:v>
      </x:c>
      <x:c r="I62" s="4" t="str">
        <x:v>COULER INDUSTRIA E REPRESENTACAO LTDA</x:v>
      </x:c>
      <x:c r="J62" s="4"/>
    </x:row>
    <x:row r="63" ht="15" hidden="0" customHeight="1">
      <x:c r="A63" s="4" t="n">
        <x:v>18</x:v>
      </x:c>
      <x:c r="B63" s="4"/>
      <x:c r="C63" s="8" t="n">
        <x:v>2026</x:v>
      </x:c>
      <x:c r="D63" s="4" t="str">
        <x:v>Compra direta</x:v>
      </x:c>
      <x:c r="E63" s="6" t="str">
        <x:v>Confecção de 2 (duas) molduras para certificado.</x:v>
      </x:c>
      <x:c r="F63" s="4" t="str">
        <x:v>Concluído</x:v>
      </x:c>
      <x:c r="G63" s="7" t="n">
        <x:v>737.06</x:v>
      </x:c>
      <x:c r="H63" s="7" t="n">
        <x:v>510</x:v>
      </x:c>
      <x:c r="I63" s="4" t="str">
        <x:v>GUILHERME FELIPE MARQUES DA COSTA</x:v>
      </x:c>
      <x:c r="J63" s="4"/>
    </x:row>
    <x:row r="64" ht="26.399999618530273" hidden="0" customHeight="1">
      <x:c r="A64" s="4" t="n">
        <x:v>17</x:v>
      </x:c>
      <x:c r="B64" s="4"/>
      <x:c r="C64" s="8" t="n">
        <x:v>2026</x:v>
      </x:c>
      <x:c r="D64" s="4" t="str">
        <x:v>Compra direta</x:v>
      </x:c>
      <x:c r="E64" s="6" t="str">
        <x:v>Aquisição de 05 (cinco) aparelhos telefônicos digitais sem fio sem ramal e de 05 (cinco) aparelhos telefônicos digitais sem fio com extensão para 01 (um) ramal, com entrega integral.</x:v>
      </x:c>
      <x:c r="F64" s="4" t="str">
        <x:v>Concluído</x:v>
      </x:c>
      <x:c r="G64" s="7" t="n">
        <x:v>2609.95</x:v>
      </x:c>
      <x:c r="H64" s="7" t="n">
        <x:v>2499.95</x:v>
      </x:c>
      <x:c r="I64" s="4" t="str">
        <x:v>INB COMERCIO LTDA</x:v>
      </x:c>
      <x:c r="J64" s="4"/>
    </x:row>
    <x:row r="65" ht="15" hidden="0" customHeight="1">
      <x:c r="A65" s="4" t="n">
        <x:v>16</x:v>
      </x:c>
      <x:c r="B65" s="4"/>
      <x:c r="C65" s="8" t="n">
        <x:v>2026</x:v>
      </x:c>
      <x:c r="D65" s="4" t="str">
        <x:v>Compra direta</x:v>
      </x:c>
      <x:c r="E65" s="6" t="str">
        <x:v>A recarga de extintores é necessária para manter a eficácia desses equipamentos</x:v>
      </x:c>
      <x:c r="F65" s="4" t="str">
        <x:v>Concluído</x:v>
      </x:c>
      <x:c r="G65" s="7" t="n">
        <x:v>9862</x:v>
      </x:c>
      <x:c r="H65" s="7" t="n">
        <x:v>9862</x:v>
      </x:c>
      <x:c r="I65" s="4" t="str">
        <x:v>CR2 SISTEMA DE COMBATE A INCENDIO LTDA</x:v>
      </x:c>
      <x:c r="J65" s="4"/>
    </x:row>
    <x:row r="66" ht="26.399999618530273" hidden="0" customHeight="1">
      <x:c r="A66" s="4" t="n">
        <x:v>16</x:v>
      </x:c>
      <x:c r="B66" s="4"/>
      <x:c r="C66" s="8" t="n">
        <x:v>2026</x:v>
      </x:c>
      <x:c r="D66" s="4" t="str">
        <x:v>Compra direta</x:v>
      </x:c>
      <x:c r="E66" s="6" t="str">
        <x:v>Locação de Micro-ônibus para o deslocamento dos Facilitadores da Sustentabilidade e Integrantes da Comissão de Sustentabilidade.</x:v>
      </x:c>
      <x:c r="F66" s="4" t="str">
        <x:v>Concluído</x:v>
      </x:c>
      <x:c r="G66" s="7" t="n">
        <x:v>1342.5</x:v>
      </x:c>
      <x:c r="H66" s="7" t="n">
        <x:v>1000</x:v>
      </x:c>
      <x:c r="I66" s="4" t="str">
        <x:v>WADSON GERALDO D ALVES DE CASTRO LTDA</x:v>
      </x:c>
      <x:c r="J66" s="4"/>
    </x:row>
    <x:row r="67" ht="26.399999618530273" hidden="0" customHeight="1">
      <x:c r="A67" s="4" t="n">
        <x:v>15</x:v>
      </x:c>
      <x:c r="B67" s="4"/>
      <x:c r="C67" s="8" t="n">
        <x:v>2026</x:v>
      </x:c>
      <x:c r="D67" s="4" t="str">
        <x:v>Compra direta</x:v>
      </x:c>
      <x:c r="E67" s="6" t="str">
        <x:v>Lavagem de 20 (vinte) persianas, perfazendo 42 metros lineares x 2,33 m de altura das persianas, incluindo retirada e reinstalação, e eventual manutenção</x:v>
      </x:c>
      <x:c r="F67" s="4" t="str">
        <x:v>Concluído</x:v>
      </x:c>
      <x:c r="G67" s="7" t="n">
        <x:v>1737.97</x:v>
      </x:c>
      <x:c r="H67" s="7" t="n">
        <x:v>1710</x:v>
      </x:c>
      <x:c r="I67" s="4" t="str">
        <x:v>LAERCIO SOUZA CARDOSO - CPF 32493177649 - ME</x:v>
      </x:c>
      <x:c r="J67" s="4"/>
    </x:row>
    <x:row r="68" ht="26.399999618530273" hidden="0" customHeight="1">
      <x:c r="A68" s="4" t="n">
        <x:v>14</x:v>
      </x:c>
      <x:c r="B68" s="4"/>
      <x:c r="C68" s="8" t="n">
        <x:v>2026</x:v>
      </x:c>
      <x:c r="D68" s="4" t="str">
        <x:v>Compra direta</x:v>
      </x:c>
      <x:c r="E68" s="6" t="str">
        <x:v>Execução da Ata de Registro de Preço 01/2026 referente a contratação de coffee break (SEI 26.0.000000549-4)</x:v>
      </x:c>
      <x:c r="F68" s="4" t="str">
        <x:v>Concluído</x:v>
      </x:c>
      <x:c r="G68" s="7" t="n">
        <x:v>3750</x:v>
      </x:c>
      <x:c r="H68" s="7" t="n">
        <x:v>3750</x:v>
      </x:c>
      <x:c r="I68" s="4" t="str">
        <x:v>CRISART EVENTOS LTDA - ME</x:v>
      </x:c>
      <x:c r="J68" s="4"/>
    </x:row>
    <x:row r="69" ht="15" hidden="0" customHeight="1">
      <x:c r="A69" s="4" t="n">
        <x:v>13</x:v>
      </x:c>
      <x:c r="B69" s="4"/>
      <x:c r="C69" s="8" t="n">
        <x:v>2026</x:v>
      </x:c>
      <x:c r="D69" s="4" t="str">
        <x:v>Compra direta</x:v>
      </x:c>
      <x:c r="E69" s="6" t="str">
        <x:v>Aquisição de aparelhos telefônicos digitais sem fio</x:v>
      </x:c>
      <x:c r="F69" s="4" t="str">
        <x:v>Concluído</x:v>
      </x:c>
      <x:c r="G69" s="7" t="n">
        <x:v>2609.95</x:v>
      </x:c>
      <x:c r="H69" s="7" t="n">
        <x:v>1631.65</x:v>
      </x:c>
      <x:c r="I69" s="4" t="str">
        <x:v>ORGANIZACOES CEITEL LTDA</x:v>
      </x:c>
      <x:c r="J69" s="4"/>
    </x:row>
    <x:row r="70" ht="26.399999618530273" hidden="0" customHeight="1">
      <x:c r="A70" s="4" t="n">
        <x:v>13</x:v>
      </x:c>
      <x:c r="B70" s="4"/>
      <x:c r="C70" s="8" t="n">
        <x:v>2026</x:v>
      </x:c>
      <x:c r="D70" s="4" t="str">
        <x:v>Compra direta</x:v>
      </x:c>
      <x:c r="E70" s="6" t="str">
        <x:v>Pagamento de franquia de seguro de veículo oficial Citroën, placa PUE-8928 (SHM-5J25), para a empresa Porto Seguro Companhia de Seguros Gerais, por DEA (SEI 25.0.000009728-7)</x:v>
      </x:c>
      <x:c r="F70" s="4" t="str">
        <x:v>Concluído</x:v>
      </x:c>
      <x:c r="G70" s="7" t="n">
        <x:v>5640</x:v>
      </x:c>
      <x:c r="H70" s="7" t="n">
        <x:v>5640</x:v>
      </x:c>
      <x:c r="I70" s="4" t="str">
        <x:v>PORTO SEGURO COMPANHIA DE SEGUROS GERAIS</x:v>
      </x:c>
      <x:c r="J70" s="4"/>
    </x:row>
    <x:row r="71" ht="15" hidden="0" customHeight="1">
      <x:c r="A71" s="4" t="n">
        <x:v>12</x:v>
      </x:c>
      <x:c r="B71" s="4"/>
      <x:c r="C71" s="8" t="n">
        <x:v>2026</x:v>
      </x:c>
      <x:c r="D71" s="4" t="str">
        <x:v>Compra direta</x:v>
      </x:c>
      <x:c r="E71" s="6" t="str">
        <x:v>Utensílios de copeiragem</x:v>
      </x:c>
      <x:c r="F71" s="4" t="str">
        <x:v>Concluído</x:v>
      </x:c>
      <x:c r="G71" s="7" t="n">
        <x:v>645.12</x:v>
      </x:c>
      <x:c r="H71" s="7" t="n">
        <x:v>710.4</x:v>
      </x:c>
      <x:c r="I71" s="4" t="str">
        <x:v>ALIANCA UTILIDADES &amp; SERVICOS LTDA</x:v>
      </x:c>
      <x:c r="J71" s="4"/>
    </x:row>
    <x:row r="72" ht="15" hidden="0" customHeight="1">
      <x:c r="A72" s="4" t="n">
        <x:v>12</x:v>
      </x:c>
      <x:c r="B72" s="4"/>
      <x:c r="C72" s="8" t="n">
        <x:v>2026</x:v>
      </x:c>
      <x:c r="D72" s="4" t="str">
        <x:v>Compra direta</x:v>
      </x:c>
      <x:c r="E72" s="6" t="str">
        <x:v>Utensílios de copeiragem</x:v>
      </x:c>
      <x:c r="F72" s="4" t="str">
        <x:v>Concluído</x:v>
      </x:c>
      <x:c r="G72" s="7" t="n">
        <x:v>537</x:v>
      </x:c>
      <x:c r="H72" s="7" t="n">
        <x:v>537</x:v>
      </x:c>
      <x:c r="I72" s="4" t="str">
        <x:v>JLIRIC COMERCIO DE ARTIGOS DE DECORACAO DE MESA LTDA</x:v>
      </x:c>
      <x:c r="J72" s="4"/>
    </x:row>
    <x:row r="73" ht="15" hidden="0" customHeight="1">
      <x:c r="A73" s="4" t="n">
        <x:v>12</x:v>
      </x:c>
      <x:c r="B73" s="4"/>
      <x:c r="C73" s="8" t="n">
        <x:v>2026</x:v>
      </x:c>
      <x:c r="D73" s="4" t="str">
        <x:v>Compra direta</x:v>
      </x:c>
      <x:c r="E73" s="6" t="str">
        <x:v>Utensílios de copeiragem</x:v>
      </x:c>
      <x:c r="F73" s="4" t="str">
        <x:v>Concluído</x:v>
      </x:c>
      <x:c r="G73" s="7" t="n">
        <x:v>973.09</x:v>
      </x:c>
      <x:c r="H73" s="7" t="n">
        <x:v>895.09</x:v>
      </x:c>
      <x:c r="I73" s="4" t="str">
        <x:v>P&amp;Y COMERCIO  LTDA</x:v>
      </x:c>
      <x:c r="J73" s="4"/>
    </x:row>
    <x:row r="74" ht="15" hidden="0" customHeight="1">
      <x:c r="A74" s="4" t="n">
        <x:v>11</x:v>
      </x:c>
      <x:c r="B74" s="4"/>
      <x:c r="C74" s="8" t="n">
        <x:v>2026</x:v>
      </x:c>
      <x:c r="D74" s="4" t="str">
        <x:v>Compra direta</x:v>
      </x:c>
      <x:c r="E74" s="6" t="str">
        <x:v>Lápis semente em cartela personalizada</x:v>
      </x:c>
      <x:c r="F74" s="4" t="str">
        <x:v>Concluído</x:v>
      </x:c>
      <x:c r="G74" s="7" t="n">
        <x:v>1214</x:v>
      </x:c>
      <x:c r="H74" s="7" t="n">
        <x:v>1098</x:v>
      </x:c>
      <x:c r="I74" s="4" t="str">
        <x:v>IJA BRINDES E MARKETING PROMOCIONAL LTDA</x:v>
      </x:c>
      <x:c r="J74" s="4"/>
    </x:row>
    <x:row r="75" ht="43.20000076293945" hidden="0" customHeight="1">
      <x:c r="A75" s="4" t="n">
        <x:v>10</x:v>
      </x:c>
      <x:c r="B75" s="4"/>
      <x:c r="C75" s="8" t="n">
        <x:v>2026</x:v>
      </x:c>
      <x:c r="D75" s="4" t="str">
        <x:v>Compra direta</x:v>
      </x:c>
      <x:c r="E75" s="6" t="str">
        <x:v>Participação em cursos, seminários, congressos (internacional) - Empresa GOES ¿ Gestión y Organización de Estancias en Salamanca, S.L
</x:v>
      </x:c>
      <x:c r="F75" s="4" t="str">
        <x:v>Concluído</x:v>
      </x:c>
      <x:c r="G75" s="7" t="n">
        <x:v>75264</x:v>
      </x:c>
      <x:c r="H75" s="7" t="n">
        <x:v>75264</x:v>
      </x:c>
      <x:c r="I75" s="4" t="str">
        <x:v>GOES ¿ GESTIÓN Y ORGANIZACIÓN DE ESTANCIAS EN SALAMANCA, S.L.</x:v>
      </x:c>
      <x:c r="J75" s="4"/>
    </x:row>
    <x:row r="76" ht="26.399999618530273" hidden="0" customHeight="1">
      <x:c r="A76" s="4" t="n">
        <x:v>9</x:v>
      </x:c>
      <x:c r="B76" s="4" t="str">
        <x:v>9493607</x:v>
      </x:c>
      <x:c r="C76" s="8" t="n">
        <x:v>2026</x:v>
      </x:c>
      <x:c r="D76" s="4" t="str">
        <x:v>Compra direta</x:v>
      </x:c>
      <x:c r="E76" s="6" t="str">
        <x:v>Emissão de certificação digital e-CNPJ A1, com validade de 12 (doze meses), incluindo visita técnica para validação do certificado nas dependências do TCEMG</x:v>
      </x:c>
      <x:c r="F76" s="4" t="str">
        <x:v>Concluído</x:v>
      </x:c>
      <x:c r="G76" s="7" t="n">
        <x:v>115</x:v>
      </x:c>
      <x:c r="H76" s="7" t="n">
        <x:v>115</x:v>
      </x:c>
      <x:c r="I76" s="4" t="str">
        <x:v>MIND CERTIFICADORA LTDA</x:v>
      </x:c>
      <x:c r="J76" s="4"/>
    </x:row>
    <x:row r="77" ht="39.599998474121094" hidden="0" customHeight="1">
      <x:c r="A77" s="4" t="n">
        <x:v>9</x:v>
      </x:c>
      <x:c r="B77" s="4"/>
      <x:c r="C77" s="8" t="n">
        <x:v>2026</x:v>
      </x:c>
      <x:c r="D77" s="4" t="str">
        <x:v>Compra direta</x:v>
      </x:c>
      <x:c r="E77" s="6" t="str">
        <x:v>Confecção e fornecimento de 2 (duas) bandeiras temáticas para celebração da semana do orgulho gay, LGBTQIAPN+ e de 1 (um) florão temático para compor uma das bandeiras temáticas LGBTQIAPN+.</x:v>
      </x:c>
      <x:c r="F77" s="4" t="str">
        <x:v>Concluído</x:v>
      </x:c>
      <x:c r="G77" s="7" t="n">
        <x:v>682.79</x:v>
      </x:c>
      <x:c r="H77" s="7" t="n">
        <x:v>480</x:v>
      </x:c>
      <x:c r="I77" s="4" t="str">
        <x:v>AUTENTICA - BANDEIRAS E CONFECCOES LTDA -ME</x:v>
      </x:c>
      <x:c r="J77" s="4"/>
    </x:row>
    <x:row r="78" ht="15" hidden="0" customHeight="1">
      <x:c r="A78" s="4" t="n">
        <x:v>6</x:v>
      </x:c>
      <x:c r="B78" s="4"/>
      <x:c r="C78" s="8" t="n">
        <x:v>2026</x:v>
      </x:c>
      <x:c r="D78" s="4" t="str">
        <x:v>Compra direta</x:v>
      </x:c>
      <x:c r="E78" s="6" t="str">
        <x:v>3 (três) molduras destinadas ao acondicionamento e exposição de medalhas institucionais.</x:v>
      </x:c>
      <x:c r="F78" s="4" t="str">
        <x:v>Concluído</x:v>
      </x:c>
      <x:c r="G78" s="7" t="n">
        <x:v>1114.09</x:v>
      </x:c>
      <x:c r="H78" s="7" t="n">
        <x:v>980</x:v>
      </x:c>
      <x:c r="I78" s="4" t="str">
        <x:v>GUILHERME FELIPE MARQUES DA COSTA</x:v>
      </x:c>
      <x:c r="J78" s="4" t="str">
        <x:v>30/03/2026</x:v>
      </x:c>
    </x:row>
    <x:row r="79" ht="15" hidden="0" customHeight="1">
      <x:c r="A79" s="4" t="n">
        <x:v>5</x:v>
      </x:c>
      <x:c r="B79" s="4"/>
      <x:c r="C79" s="8" t="n">
        <x:v>2026</x:v>
      </x:c>
      <x:c r="D79" s="4" t="str">
        <x:v>Compra direta</x:v>
      </x:c>
      <x:c r="E79" s="6" t="str">
        <x:v>Pacômetro e trena analógica</x:v>
      </x:c>
      <x:c r="F79" s="4" t="str">
        <x:v>Concluído</x:v>
      </x:c>
      <x:c r="G79" s="7" t="n">
        <x:v>5489.87</x:v>
      </x:c>
      <x:c r="H79" s="7" t="n">
        <x:v>4510.7</x:v>
      </x:c>
      <x:c r="I79" s="4" t="str">
        <x:v>PALACIO DAS FERRAMENTAS E PARAFUSOS LTDA</x:v>
      </x:c>
      <x:c r="J79" s="4"/>
    </x:row>
    <x:row r="80" ht="26.399999618530273" hidden="0" customHeight="1">
      <x:c r="A80" s="4" t="n">
        <x:v>3</x:v>
      </x:c>
      <x:c r="B80" s="4" t="str">
        <x:v>9497440</x:v>
      </x:c>
      <x:c r="C80" s="8" t="n">
        <x:v>2026</x:v>
      </x:c>
      <x:c r="D80" s="4" t="str">
        <x:v>Compra direta</x:v>
      </x:c>
      <x:c r="E80" s="6" t="str">
        <x:v>consultoria especializada para elaboração do inventário de emissões de gases de efeito estufa (GEE) contemplando Escopos 1, 2 e 3, e elaboração do Plano de Descarbonização do TCEMG</x:v>
      </x:c>
      <x:c r="F80" s="4" t="str">
        <x:v>Concluído</x:v>
      </x:c>
      <x:c r="G80" s="7" t="n">
        <x:v>18833.33</x:v>
      </x:c>
      <x:c r="H80" s="7" t="n">
        <x:v>16500</x:v>
      </x:c>
      <x:c r="I80" s="4" t="str">
        <x:v>ATENA SERVICOS DE ENGENHARIA E CONSULTORIA LTDA</x:v>
      </x:c>
      <x:c r="J80" s="4"/>
    </x:row>
    <x:row r="81" ht="26.399999618530273" hidden="0" customHeight="1">
      <x:c r="A81" s="4" t="n">
        <x:v>309</x:v>
      </x:c>
      <x:c r="B81" s="4"/>
      <x:c r="C81" s="8" t="n">
        <x:v>2025</x:v>
      </x:c>
      <x:c r="D81" s="4" t="str">
        <x:v>Compra direta</x:v>
      </x:c>
      <x:c r="E81" s="6" t="str">
        <x:v>ILUMINADOR - IDENTIFICACAO: LED COM 600 LAMPADAS; CONTROLE: AJUSTAVEL -  (DIMMER);
ALCANCE: 1 M -4680 LUX - 5.500K; TENSAO: 110/220 V;</x:v>
      </x:c>
      <x:c r="F81" s="4" t="str">
        <x:v>Concluído</x:v>
      </x:c>
      <x:c r="G81" s="7" t="n">
        <x:v>1288.47</x:v>
      </x:c>
      <x:c r="H81" s="7" t="n">
        <x:v>1198</x:v>
      </x:c>
      <x:c r="I81" s="4" t="str">
        <x:v>MINAS COMERCIO E SERVICOS LTDA</x:v>
      </x:c>
      <x:c r="J81" s="4"/>
    </x:row>
    <x:row r="82" ht="15" hidden="0" customHeight="1">
      <x:c r="A82" s="4" t="n">
        <x:v>307</x:v>
      </x:c>
      <x:c r="B82" s="4"/>
      <x:c r="C82" s="8" t="n">
        <x:v>2025</x:v>
      </x:c>
      <x:c r="D82" s="4" t="str">
        <x:v>Compra direta</x:v>
      </x:c>
      <x:c r="E82" s="6" t="str">
        <x:v>TAPETE CAPACHO VINÍLICOS - PVC.</x:v>
      </x:c>
      <x:c r="F82" s="4" t="str">
        <x:v>Concluído</x:v>
      </x:c>
      <x:c r="G82" s="7" t="n">
        <x:v>6200</x:v>
      </x:c>
      <x:c r="H82" s="7" t="n">
        <x:v>6200</x:v>
      </x:c>
      <x:c r="I82" s="4" t="str">
        <x:v>MASTER COMERCIO DE TAPETES LTDA - ME</x:v>
      </x:c>
      <x:c r="J82" s="4"/>
    </x:row>
    <x:row r="83" ht="26.399999618530273" hidden="0" customHeight="1">
      <x:c r="A83" s="4" t="n">
        <x:v>300</x:v>
      </x:c>
      <x:c r="B83" s="4"/>
      <x:c r="C83" s="8" t="n">
        <x:v>2025</x:v>
      </x:c>
      <x:c r="D83" s="4" t="str">
        <x:v>Compra direta</x:v>
      </x:c>
      <x:c r="E83" s="6" t="str">
        <x:v>Aquisição de arranjos de flores, para a solenidade de posse do Conselheiro Alencar da Silveira,, que ocorrerá no dia 09 de dezembro de 2025</x:v>
      </x:c>
      <x:c r="F83" s="4" t="str">
        <x:v>Concluído</x:v>
      </x:c>
      <x:c r="G83" s="7" t="n">
        <x:v>3434</x:v>
      </x:c>
      <x:c r="H83" s="7" t="n">
        <x:v>3434</x:v>
      </x:c>
      <x:c r="I83" s="4" t="str">
        <x:v>A&amp;C EVENTOS LTDA - ME</x:v>
      </x:c>
      <x:c r="J83" s="4"/>
    </x:row>
    <x:row r="84" ht="26.399999618530273" hidden="0" customHeight="1">
      <x:c r="A84" s="4" t="n">
        <x:v>295</x:v>
      </x:c>
      <x:c r="B84" s="4"/>
      <x:c r="C84" s="8" t="n">
        <x:v>2025</x:v>
      </x:c>
      <x:c r="D84" s="4" t="str">
        <x:v>Compra direta</x:v>
      </x:c>
      <x:c r="E84" s="6" t="str">
        <x:v>Serviços de coffee break, com pessoal, estrutura e vasilhame, para atender demanda do dia 09 de dezembro de 2025, relativa a posse do Conselheiro Alencar da Silveira</x:v>
      </x:c>
      <x:c r="F84" s="4" t="str">
        <x:v>Concluído</x:v>
      </x:c>
      <x:c r="G84" s="7" t="n">
        <x:v>15117</x:v>
      </x:c>
      <x:c r="H84" s="7" t="n">
        <x:v>15117</x:v>
      </x:c>
      <x:c r="I84" s="4" t="str">
        <x:v>ANGELO RONCALLI DE ASSIS RAMOS LTDA</x:v>
      </x:c>
      <x:c r="J84" s="4"/>
    </x:row>
    <x:row r="85" ht="26.399999618530273" hidden="0" customHeight="1">
      <x:c r="A85" s="4" t="n">
        <x:v>290</x:v>
      </x:c>
      <x:c r="B85" s="4"/>
      <x:c r="C85" s="8" t="n">
        <x:v>2025</x:v>
      </x:c>
      <x:c r="D85" s="4" t="str">
        <x:v>Compra direta</x:v>
      </x:c>
      <x:c r="E85" s="6" t="str">
        <x:v>Aquisição de 12.000 etiquetas para  impressora térmica do tipo QL820 NWB com entrega integral.</x:v>
      </x:c>
      <x:c r="F85" s="4" t="str">
        <x:v>Concluído</x:v>
      </x:c>
      <x:c r="G85" s="7" t="n">
        <x:v>2245.5</x:v>
      </x:c>
      <x:c r="H85" s="7" t="n">
        <x:v>2245.5</x:v>
      </x:c>
      <x:c r="I85" s="4" t="str">
        <x:v>VERTICE LICITACOES LTDA</x:v>
      </x:c>
      <x:c r="J85" s="4"/>
    </x:row>
    <x:row r="86" ht="15" hidden="0" customHeight="1">
      <x:c r="A86" s="4" t="n">
        <x:v>285</x:v>
      </x:c>
      <x:c r="B86" s="4"/>
      <x:c r="C86" s="8" t="n">
        <x:v>2025</x:v>
      </x:c>
      <x:c r="D86" s="4" t="str">
        <x:v>Compra direta</x:v>
      </x:c>
      <x:c r="E86" s="6" t="str">
        <x:v>Pagamento de franquia de seguro de veículo oficial Citroën, placa PUE-8938 (SIC-8B21)</x:v>
      </x:c>
      <x:c r="F86" s="4" t="str">
        <x:v>Concluído</x:v>
      </x:c>
      <x:c r="G86" s="7" t="n">
        <x:v>5640</x:v>
      </x:c>
      <x:c r="H86" s="7" t="n">
        <x:v>5640</x:v>
      </x:c>
      <x:c r="I86" s="4" t="str">
        <x:v>PRIME AUTOMOTIVE OFICINA DE AUTOMOVEIS LTDA</x:v>
      </x:c>
      <x:c r="J86" s="4"/>
    </x:row>
    <x:row r="87" ht="26.399999618530273" hidden="0" customHeight="1">
      <x:c r="A87" s="4" t="n">
        <x:v>278</x:v>
      </x:c>
      <x:c r="B87" s="4"/>
      <x:c r="C87" s="8" t="n">
        <x:v>2025</x:v>
      </x:c>
      <x:c r="D87" s="4" t="str">
        <x:v>Compra direta</x:v>
      </x:c>
      <x:c r="E87" s="6" t="str">
        <x:v>Fornecimento e instalação de janelas acústicas para bloqueio de ruídos proveniente principalmente de tráfego de veículos e obras, com entrega integral (SEI 25.0.000009552-7).</x:v>
      </x:c>
      <x:c r="F87" s="4" t="str">
        <x:v>Concluído</x:v>
      </x:c>
      <x:c r="G87" s="7" t="n">
        <x:v>26391.56</x:v>
      </x:c>
      <x:c r="H87" s="7" t="n">
        <x:v>38578.97</x:v>
      </x:c>
      <x:c r="I87" s="4" t="str">
        <x:v>SOLUCIONNE TERMO-ACUSTICO DO BRASIL LTDA -ME</x:v>
      </x:c>
      <x:c r="J87" s="4"/>
    </x:row>
    <x:row r="88" ht="26.399999618530273" hidden="0" customHeight="1">
      <x:c r="A88" s="4" t="n">
        <x:v>277</x:v>
      </x:c>
      <x:c r="B88" s="4"/>
      <x:c r="C88" s="8" t="n">
        <x:v>2025</x:v>
      </x:c>
      <x:c r="D88" s="4" t="str">
        <x:v>Compra direta</x:v>
      </x:c>
      <x:c r="E88" s="6" t="str">
        <x:v>Serviço de coffee break para o Salão Mestre de Piranga, para 250 pessoas, incluindo estrutura e vasilhame, para atender evento programado para o dia 14/11/2025 (SEI 25.0.000010183-7).</x:v>
      </x:c>
      <x:c r="F88" s="4" t="str">
        <x:v>Concluído</x:v>
      </x:c>
      <x:c r="G88" s="7" t="n">
        <x:v>7475</x:v>
      </x:c>
      <x:c r="H88" s="7" t="n">
        <x:v>7475</x:v>
      </x:c>
      <x:c r="I88" s="4" t="str">
        <x:v>ANGELO RONCALLI DE ASSIS RAMOS LTDA</x:v>
      </x:c>
      <x:c r="J88" s="4"/>
    </x:row>
    <x:row r="89" ht="26.399999618530273" hidden="0" customHeight="1">
      <x:c r="A89" s="4" t="n">
        <x:v>272</x:v>
      </x:c>
      <x:c r="B89" s="4"/>
      <x:c r="C89" s="8" t="n">
        <x:v>2025</x:v>
      </x:c>
      <x:c r="D89" s="4" t="str">
        <x:v>Compra direta</x:v>
      </x:c>
      <x:c r="E89" s="6" t="str">
        <x:v>Prestação de serviços especializados de encadernação de 62 (sessenta e dois) volumes de atas das sessões plenárias do TCEMG</x:v>
      </x:c>
      <x:c r="F89" s="4" t="str">
        <x:v>Concluído</x:v>
      </x:c>
      <x:c r="G89" s="7" t="n">
        <x:v>3613.33</x:v>
      </x:c>
      <x:c r="H89" s="7" t="n">
        <x:v>3410</x:v>
      </x:c>
      <x:c r="I89" s="4" t="str">
        <x:v>MARIA DANIELA DOS SANTOS MILSON LOPES 10165083603</x:v>
      </x:c>
      <x:c r="J89" s="4"/>
    </x:row>
    <x:row r="90" ht="30" hidden="0" customHeight="1">
      <x:c r="A90" s="4" t="n">
        <x:v>271</x:v>
      </x:c>
      <x:c r="B90" s="4"/>
      <x:c r="C90" s="8" t="n">
        <x:v>2025</x:v>
      </x:c>
      <x:c r="D90" s="4" t="str">
        <x:v>Compra direta</x:v>
      </x:c>
      <x:c r="E90" s="6" t="str">
        <x:v>Serviços gráficos para impressão de 1000 credenciais para a Escola de Contas.
</x:v>
      </x:c>
      <x:c r="F90" s="4" t="str">
        <x:v>Concluído</x:v>
      </x:c>
      <x:c r="G90" s="7" t="n">
        <x:v>1200</x:v>
      </x:c>
      <x:c r="H90" s="7" t="n">
        <x:v>980</x:v>
      </x:c>
      <x:c r="I90" s="4" t="str">
        <x:v>GRAFICA CENTRAL EDITORA E DIGITAL LTDA</x:v>
      </x:c>
      <x:c r="J90" s="4"/>
    </x:row>
    <x:row r="91" ht="15" hidden="0" customHeight="1">
      <x:c r="A91" s="4" t="n">
        <x:v>270</x:v>
      </x:c>
      <x:c r="B91" s="4"/>
      <x:c r="C91" s="8" t="n">
        <x:v>2025</x:v>
      </x:c>
      <x:c r="D91" s="4" t="str">
        <x:v>Compra direta</x:v>
      </x:c>
      <x:c r="E91" s="6" t="str">
        <x:v>Pagamento de franquia de seguro de veículo oficial Citroën, placa PUE-8928 (SHM-5J25).</x:v>
      </x:c>
      <x:c r="F91" s="4" t="str">
        <x:v>Concluído</x:v>
      </x:c>
      <x:c r="G91" s="7" t="n">
        <x:v>5640</x:v>
      </x:c>
      <x:c r="H91" s="7" t="n">
        <x:v>5640</x:v>
      </x:c>
      <x:c r="I91" s="4" t="str">
        <x:v>PRIME AUTOMOTIVE OFICINA DE AUTOMOVEIS LTDA</x:v>
      </x:c>
      <x:c r="J91" s="4"/>
    </x:row>
    <x:row r="92" ht="15" hidden="0" customHeight="1">
      <x:c r="A92" s="4" t="n">
        <x:v>268</x:v>
      </x:c>
      <x:c r="B92" s="4"/>
      <x:c r="C92" s="8" t="n">
        <x:v>2025</x:v>
      </x:c>
      <x:c r="D92" s="4" t="str">
        <x:v>Compra direta</x:v>
      </x:c>
      <x:c r="E92" s="6" t="str">
        <x:v>Prestação de serviços de reforma e restauração de mobiliário</x:v>
      </x:c>
      <x:c r="F92" s="4" t="str">
        <x:v>Concluído</x:v>
      </x:c>
      <x:c r="G92" s="7" t="n">
        <x:v>45030</x:v>
      </x:c>
      <x:c r="H92" s="7" t="n">
        <x:v>45030</x:v>
      </x:c>
      <x:c r="I92" s="4" t="str">
        <x:v>QUATTRO LEONI INDUSTRIA E COMERCIO DE MOVEIS LTDA</x:v>
      </x:c>
      <x:c r="J92" s="4"/>
    </x:row>
    <x:row r="93" ht="26.399999618530273" hidden="0" customHeight="1">
      <x:c r="A93" s="4" t="n">
        <x:v>267</x:v>
      </x:c>
      <x:c r="B93" s="4"/>
      <x:c r="C93" s="8" t="n">
        <x:v>2025</x:v>
      </x:c>
      <x:c r="D93" s="4" t="str">
        <x:v>Compra direta</x:v>
      </x:c>
      <x:c r="E93" s="6" t="str">
        <x:v>Inscrição para o XXX Congreso Internacional del CLAD, a ser realizado em Assunção/Paraguay, no período de 10 a 13 de novembro de 2025</x:v>
      </x:c>
      <x:c r="F93" s="4" t="str">
        <x:v>Concluído</x:v>
      </x:c>
      <x:c r="G93" s="7" t="n">
        <x:v>770</x:v>
      </x:c>
      <x:c r="H93" s="7" t="n">
        <x:v>770</x:v>
      </x:c>
      <x:c r="I93" s="4" t="str">
        <x:v>CENTRO LATINOAMERICANO DE ADMINISTRACION PARA EL DESARROLLO - CLAD</x:v>
      </x:c>
      <x:c r="J93" s="4"/>
    </x:row>
    <x:row r="94" ht="26.399999618530273" hidden="0" customHeight="1">
      <x:c r="A94" s="4" t="n">
        <x:v>266</x:v>
      </x:c>
      <x:c r="B94" s="4"/>
      <x:c r="C94" s="8" t="n">
        <x:v>2025</x:v>
      </x:c>
      <x:c r="D94" s="4" t="str">
        <x:v>Compra direta</x:v>
      </x:c>
      <x:c r="E94" s="6" t="str">
        <x:v>Aquisição de serviços gráficos para impressão de 50 credenciais para a Escola
de Contas e 350 credenciais para o Núcleo de Cultura.</x:v>
      </x:c>
      <x:c r="F94" s="4" t="str">
        <x:v>Concluído</x:v>
      </x:c>
      <x:c r="G94" s="7" t="n">
        <x:v>1245</x:v>
      </x:c>
      <x:c r="H94" s="7" t="n">
        <x:v>1245</x:v>
      </x:c>
      <x:c r="I94" s="4" t="str">
        <x:v>D &amp; M SINALIZACAO LTDA - ME</x:v>
      </x:c>
      <x:c r="J94" s="4"/>
    </x:row>
    <x:row r="95" ht="26.399999618530273" hidden="0" customHeight="1">
      <x:c r="A95" s="4" t="n">
        <x:v>257</x:v>
      </x:c>
      <x:c r="B95" s="4"/>
      <x:c r="C95" s="8" t="n">
        <x:v>2025</x:v>
      </x:c>
      <x:c r="D95" s="4" t="str">
        <x:v>Compra direta</x:v>
      </x:c>
      <x:c r="E95" s="6" t="str">
        <x:v>Serviço de manutenção preventiva e corretiva em 2 (dois) equipamentos Desfibrilador Externo Automático (DEA), com eventual substituição e fornecimento de peças.</x:v>
      </x:c>
      <x:c r="F95" s="4" t="str">
        <x:v>Concluído</x:v>
      </x:c>
      <x:c r="G95" s="7" t="n">
        <x:v>5778.88</x:v>
      </x:c>
      <x:c r="H95" s="7" t="n">
        <x:v>5178.88</x:v>
      </x:c>
      <x:c r="I95" s="4" t="str">
        <x:v>CALL MEDICAL TECNOLOGIA EM SERVICOS LTDA</x:v>
      </x:c>
      <x:c r="J95" s="4"/>
    </x:row>
    <x:row r="96" ht="26.399999618530273" hidden="0" customHeight="1">
      <x:c r="A96" s="4" t="n">
        <x:v>255</x:v>
      </x:c>
      <x:c r="B96" s="4"/>
      <x:c r="C96" s="8" t="n">
        <x:v>2025</x:v>
      </x:c>
      <x:c r="D96" s="4" t="str">
        <x:v>Compra direta</x:v>
      </x:c>
      <x:c r="E96" s="6" t="str">
        <x:v>Contratação de empresa especializada na prestação de serviços gráficos para a Exposição de Canuto em 03/11/2025</x:v>
      </x:c>
      <x:c r="F96" s="4" t="str">
        <x:v>Concluído</x:v>
      </x:c>
      <x:c r="G96" s="7" t="n">
        <x:v>780</x:v>
      </x:c>
      <x:c r="H96" s="7" t="n">
        <x:v>640</x:v>
      </x:c>
      <x:c r="I96" s="4" t="str">
        <x:v>INFORGRAF LTDA - ME</x:v>
      </x:c>
      <x:c r="J96" s="4"/>
    </x:row>
    <x:row r="97" ht="26.399999618530273" hidden="0" customHeight="1">
      <x:c r="A97" s="4" t="n">
        <x:v>254</x:v>
      </x:c>
      <x:c r="B97" s="4"/>
      <x:c r="C97" s="8" t="n">
        <x:v>2025</x:v>
      </x:c>
      <x:c r="D97" s="4" t="str">
        <x:v>Compra direta</x:v>
      </x:c>
      <x:c r="E97" s="6" t="str">
        <x:v>Locação de estrutura em boxtruss para o ¿ II Seminário Internacional de Pró-Reparações Históricas¿, a ser realizado nos dias 10 e 11 de novembro de 2025</x:v>
      </x:c>
      <x:c r="F97" s="4" t="str">
        <x:v>Concluído</x:v>
      </x:c>
      <x:c r="G97" s="7" t="n">
        <x:v>1400</x:v>
      </x:c>
      <x:c r="H97" s="7" t="n">
        <x:v>1400</x:v>
      </x:c>
      <x:c r="I97" s="4" t="str">
        <x:v>INFORGRAF LTDA - ME</x:v>
      </x:c>
      <x:c r="J97" s="4"/>
    </x:row>
    <x:row r="98" ht="26.399999618530273" hidden="0" customHeight="1">
      <x:c r="A98" s="4" t="n">
        <x:v>245</x:v>
      </x:c>
      <x:c r="B98" s="4"/>
      <x:c r="C98" s="8" t="n">
        <x:v>2025</x:v>
      </x:c>
      <x:c r="D98" s="4" t="str">
        <x:v>Compra direta</x:v>
      </x:c>
      <x:c r="E98" s="6" t="str">
        <x:v>Locação de equipamentos de transmissão online/simultânea para  um evento, a ser realizado no TCEMG</x:v>
      </x:c>
      <x:c r="F98" s="4" t="str">
        <x:v>Concluído</x:v>
      </x:c>
      <x:c r="G98" s="7" t="n">
        <x:v>8750</x:v>
      </x:c>
      <x:c r="H98" s="7" t="n">
        <x:v>7300</x:v>
      </x:c>
      <x:c r="I98" s="4" t="str">
        <x:v>47.116.972 JOAO CARLOS JUNIOR MARINHO</x:v>
      </x:c>
      <x:c r="J98" s="4"/>
    </x:row>
    <x:row r="99" ht="26.399999618530273" hidden="0" customHeight="1">
      <x:c r="A99" s="4" t="n">
        <x:v>243</x:v>
      </x:c>
      <x:c r="B99" s="4"/>
      <x:c r="C99" s="8" t="n">
        <x:v>2025</x:v>
      </x:c>
      <x:c r="D99" s="4" t="str">
        <x:v>Compra direta</x:v>
      </x:c>
      <x:c r="E99" s="6" t="str">
        <x:v>Aquisição de 350 canetas personalizadas, com entrega integral, para realização da campanha do Mês da Consciencia Negra</x:v>
      </x:c>
      <x:c r="F99" s="4" t="str">
        <x:v>Concluído</x:v>
      </x:c>
      <x:c r="G99" s="7" t="n">
        <x:v>721</x:v>
      </x:c>
      <x:c r="H99" s="7" t="n">
        <x:v>721</x:v>
      </x:c>
      <x:c r="I99" s="4" t="str">
        <x:v>IJA BRINDES E MARKETING PROMOCIONAL LTDA</x:v>
      </x:c>
      <x:c r="J99" s="4"/>
    </x:row>
    <x:row r="100" ht="15" hidden="0" customHeight="1">
      <x:c r="A100" s="4" t="n">
        <x:v>239</x:v>
      </x:c>
      <x:c r="B100" s="4"/>
      <x:c r="C100" s="8" t="n">
        <x:v>2025</x:v>
      </x:c>
      <x:c r="D100" s="4" t="str">
        <x:v>Compra direta</x:v>
      </x:c>
      <x:c r="E100" s="6" t="str">
        <x:v>Locação de estrutura em boxtruss</x:v>
      </x:c>
      <x:c r="F100" s="4" t="str">
        <x:v>Concluído</x:v>
      </x:c>
      <x:c r="G100" s="7" t="n">
        <x:v>1400</x:v>
      </x:c>
      <x:c r="H100" s="7" t="n">
        <x:v>1400</x:v>
      </x:c>
      <x:c r="I100" s="4" t="str">
        <x:v>INFORGRAF LTDA - ME</x:v>
      </x:c>
      <x:c r="J100" s="4"/>
    </x:row>
    <x:row r="101" ht="39.599998474121094" hidden="0" customHeight="1">
      <x:c r="A101" s="4" t="n">
        <x:v>213</x:v>
      </x:c>
      <x:c r="B101" s="4"/>
      <x:c r="C101" s="8" t="n">
        <x:v>2025</x:v>
      </x:c>
      <x:c r="D101" s="4" t="str">
        <x:v>Compra direta</x:v>
      </x:c>
      <x:c r="E101" s="6" t="str">
        <x:v>Prestação de serviços de locação, montagem e suporte de equipamentos tecnológicos para o evento Dia da Inovação Ada
Lovelace, com data prevista para ocorrer em 02/10/2025. (SEI 25.0.000006315-3)</x:v>
      </x:c>
      <x:c r="F101" s="4" t="str">
        <x:v>Concluído</x:v>
      </x:c>
      <x:c r="G101" s="7" t="n">
        <x:v>19220</x:v>
      </x:c>
      <x:c r="H101" s="7" t="n">
        <x:v>19220</x:v>
      </x:c>
      <x:c r="I101" s="4" t="str">
        <x:v>ON PROJECOES LTDA</x:v>
      </x:c>
      <x:c r="J101" s="4"/>
    </x:row>
    <x:row r="102" ht="26.399999618530273" hidden="0" customHeight="1">
      <x:c r="A102" s="4" t="n">
        <x:v>212</x:v>
      </x:c>
      <x:c r="B102" s="4"/>
      <x:c r="C102" s="8" t="n">
        <x:v>2025</x:v>
      </x:c>
      <x:c r="D102" s="4" t="str">
        <x:v>Compra direta</x:v>
      </x:c>
      <x:c r="E102" s="6" t="str">
        <x:v>Contratação de empresa especializada para a prestação do serviço de locação de equipamentos de transmissão online para eventos a serem realizados no TCEMG</x:v>
      </x:c>
      <x:c r="F102" s="4" t="str">
        <x:v>Concluído</x:v>
      </x:c>
      <x:c r="G102" s="7" t="n">
        <x:v>14545</x:v>
      </x:c>
      <x:c r="H102" s="7" t="n">
        <x:v>14545</x:v>
      </x:c>
      <x:c r="I102" s="4" t="str">
        <x:v>PRODEL LOCACAO DE EQUIPAMENTOS PARA EVENTOS LTDA</x:v>
      </x:c>
      <x:c r="J102" s="4"/>
    </x:row>
    <x:row r="103" ht="39.599998474121094" hidden="0" customHeight="1">
      <x:c r="A103" s="4" t="n">
        <x:v>211</x:v>
      </x:c>
      <x:c r="B103" s="4"/>
      <x:c r="C103" s="8" t="n">
        <x:v>2025</x:v>
      </x:c>
      <x:c r="D103" s="4" t="str">
        <x:v>Compra direta</x:v>
      </x:c>
      <x:c r="E103" s="6" t="str">
        <x:v>Aquisição de materiais de atendimento de urgência, sendo estes: 4  colares cervicais adulto; 4 imobilizadores de cabeça e nuca adulto e 30 unidades de ataduras de crepom 25cm (SEI 25.0.000004286-5)</x:v>
      </x:c>
      <x:c r="F103" s="4" t="str">
        <x:v>Concluído</x:v>
      </x:c>
      <x:c r="G103" s="7" t="n">
        <x:v>1127.82</x:v>
      </x:c>
      <x:c r="H103" s="7" t="n">
        <x:v>1127</x:v>
      </x:c>
      <x:c r="I103" s="4" t="str">
        <x:v>DROGARIA GAVEA LTDA -EPP</x:v>
      </x:c>
      <x:c r="J103" s="4"/>
    </x:row>
    <x:row r="104" ht="39.599998474121094" hidden="0" customHeight="1">
      <x:c r="A104" s="4" t="n">
        <x:v>209</x:v>
      </x:c>
      <x:c r="B104" s="4"/>
      <x:c r="C104" s="8" t="n">
        <x:v>2025</x:v>
      </x:c>
      <x:c r="D104" s="4" t="str">
        <x:v>Compra direta</x:v>
      </x:c>
      <x:c r="E104" s="6" t="str">
        <x:v>15 (quinze) medalhas, 3 (três) troféus para o Dia da Inovação Ada Lovelace 2025 e 07 (sete) medalhas com fitas e estojos e 07 (sete) diplomas com os respectivos porta diplomas (SEI 25.0.000002653-3)</x:v>
      </x:c>
      <x:c r="F104" s="4" t="str">
        <x:v>Concluído</x:v>
      </x:c>
      <x:c r="G104" s="7" t="n">
        <x:v>2322.79</x:v>
      </x:c>
      <x:c r="H104" s="7" t="n">
        <x:v>669</x:v>
      </x:c>
      <x:c r="I104" s="4" t="str">
        <x:v>INPRINT GRAFICA DIGITAL LTDA - ME</x:v>
      </x:c>
      <x:c r="J104" s="4"/>
    </x:row>
    <x:row r="105" ht="39.599998474121094" hidden="0" customHeight="1">
      <x:c r="A105" s="4" t="n">
        <x:v>209</x:v>
      </x:c>
      <x:c r="B105" s="4"/>
      <x:c r="C105" s="8" t="n">
        <x:v>2025</x:v>
      </x:c>
      <x:c r="D105" s="4" t="str">
        <x:v>Compra direta</x:v>
      </x:c>
      <x:c r="E105" s="6" t="str">
        <x:v>15 (quinze) medalhas, 3 (três) troféus para o Dia da Inovação Ada Lovelace 2025 e 07 (sete) medalhas com fitas e estojos e 07 (sete) diplomas com os respectivos porta diplomas (SEI 25.0.000002653-3)</x:v>
      </x:c>
      <x:c r="F105" s="4" t="str">
        <x:v>Concluído</x:v>
      </x:c>
      <x:c r="G105" s="7" t="n">
        <x:v>2148.16</x:v>
      </x:c>
      <x:c r="H105" s="7" t="n">
        <x:v>1750</x:v>
      </x:c>
      <x:c r="I105" s="4" t="str">
        <x:v>MARCIO SANDRO MALLET PEZARIM</x:v>
      </x:c>
      <x:c r="J105" s="4"/>
    </x:row>
    <x:row r="106" ht="39.599998474121094" hidden="0" customHeight="1">
      <x:c r="A106" s="4" t="n">
        <x:v>209</x:v>
      </x:c>
      <x:c r="B106" s="4"/>
      <x:c r="C106" s="8" t="n">
        <x:v>2025</x:v>
      </x:c>
      <x:c r="D106" s="4" t="str">
        <x:v>Compra direta</x:v>
      </x:c>
      <x:c r="E106" s="6" t="str">
        <x:v>15 (quinze) medalhas, 3 (três) troféus para o Dia da Inovação Ada Lovelace 2025 e 07 (sete) medalhas com fitas e estojos e 07 (sete) diplomas com os respectivos porta diplomas (SEI 25.0.000002653-3)</x:v>
      </x:c>
      <x:c r="F106" s="4" t="str">
        <x:v>Concluído</x:v>
      </x:c>
      <x:c r="G106" s="7" t="n">
        <x:v>1703.31</x:v>
      </x:c>
      <x:c r="H106" s="7" t="n">
        <x:v>1916.95</x:v>
      </x:c>
      <x:c r="I106" s="4" t="str">
        <x:v>MERITO BRINDES E PREMIACOES - LTDA</x:v>
      </x:c>
      <x:c r="J106" s="4"/>
    </x:row>
    <x:row r="107" ht="15" hidden="0" customHeight="1">
      <x:c r="A107" s="4" t="n">
        <x:v>208</x:v>
      </x:c>
      <x:c r="B107" s="4"/>
      <x:c r="C107" s="8" t="n">
        <x:v>2025</x:v>
      </x:c>
      <x:c r="D107" s="4" t="str">
        <x:v>Compra direta</x:v>
      </x:c>
      <x:c r="E107" s="6" t="str">
        <x:v>Aquisição de medicamentos e insumos</x:v>
      </x:c>
      <x:c r="F107" s="4" t="str">
        <x:v>Concluído</x:v>
      </x:c>
      <x:c r="G107" s="7" t="n">
        <x:v>6204.65</x:v>
      </x:c>
      <x:c r="H107" s="7" t="n">
        <x:v>4481.9</x:v>
      </x:c>
      <x:c r="I107" s="4" t="str">
        <x:v>DROGARIA GAVEA LTDA -EPP</x:v>
      </x:c>
      <x:c r="J107" s="4"/>
    </x:row>
    <x:row r="108" ht="15" hidden="0" customHeight="1">
      <x:c r="A108" s="4" t="n">
        <x:v>207</x:v>
      </x:c>
      <x:c r="B108" s="4"/>
      <x:c r="C108" s="8" t="n">
        <x:v>2025</x:v>
      </x:c>
      <x:c r="D108" s="4" t="str">
        <x:v>Compra direta</x:v>
      </x:c>
      <x:c r="E108" s="6" t="str">
        <x:v>Locação de 250 cadeiras conforme especificações constantes neste Termo Termo de Referência</x:v>
      </x:c>
      <x:c r="F108" s="4" t="str">
        <x:v>Concluído</x:v>
      </x:c>
      <x:c r="G108" s="7" t="n">
        <x:v>2000</x:v>
      </x:c>
      <x:c r="H108" s="7" t="n">
        <x:v>2000</x:v>
      </x:c>
      <x:c r="I108" s="4" t="str">
        <x:v>JATIM COMERCIO &amp; EMPREENDIMENTOS LTDA</x:v>
      </x:c>
      <x:c r="J108" s="4"/>
    </x:row>
    <x:row r="109" ht="15" hidden="0" customHeight="1">
      <x:c r="A109" s="4" t="n">
        <x:v>206</x:v>
      </x:c>
      <x:c r="B109" s="4"/>
      <x:c r="C109" s="8" t="n">
        <x:v>2025</x:v>
      </x:c>
      <x:c r="D109" s="4" t="str">
        <x:v>Compra direta</x:v>
      </x:c>
      <x:c r="E109" s="6" t="str">
        <x:v>Contratação de empresa especializada na prestação de serviços de plotagem.</x:v>
      </x:c>
      <x:c r="F109" s="4" t="str">
        <x:v>Concluído</x:v>
      </x:c>
      <x:c r="G109" s="7" t="n">
        <x:v>2222</x:v>
      </x:c>
      <x:c r="H109" s="7" t="n">
        <x:v>2222</x:v>
      </x:c>
      <x:c r="I109" s="4" t="str">
        <x:v>V+ COMUNICACAO VISUAL LTDA</x:v>
      </x:c>
      <x:c r="J109" s="4"/>
    </x:row>
    <x:row r="110" ht="26.399999618530273" hidden="0" customHeight="1">
      <x:c r="A110" s="4" t="n">
        <x:v>205</x:v>
      </x:c>
      <x:c r="B110" s="4"/>
      <x:c r="C110" s="8" t="n">
        <x:v>2025</x:v>
      </x:c>
      <x:c r="D110" s="4" t="str">
        <x:v>Compra direta</x:v>
      </x:c>
      <x:c r="E110" s="6" t="str">
        <x:v>Aquisição de 30 kits de lixeiras personalizadas para coleta seletiva no Tribunal de Contas do Estado de Minas Gerais (TCEMG)</x:v>
      </x:c>
      <x:c r="F110" s="4" t="str">
        <x:v>Concluído</x:v>
      </x:c>
      <x:c r="G110" s="7" t="n">
        <x:v>1890</x:v>
      </x:c>
      <x:c r="H110" s="7" t="n">
        <x:v>1890</x:v>
      </x:c>
      <x:c r="I110" s="4" t="str">
        <x:v>EMPREENDIMENTO COMERCIAL SAARA LTDA - EPP</x:v>
      </x:c>
      <x:c r="J110" s="4"/>
    </x:row>
    <x:row r="111" ht="26.399999618530273" hidden="0" customHeight="1">
      <x:c r="A111" s="4" t="n">
        <x:v>203</x:v>
      </x:c>
      <x:c r="B111" s="4"/>
      <x:c r="C111" s="8" t="n">
        <x:v>2025</x:v>
      </x:c>
      <x:c r="D111" s="4" t="str">
        <x:v>Compra direta</x:v>
      </x:c>
      <x:c r="E111" s="6" t="str">
        <x:v>Contratação de empresa especializada para a prestação do serviço de locação de equipamentos de transmissão online para  02 eventos, a serem realizados no TCEMG.</x:v>
      </x:c>
      <x:c r="F111" s="4" t="str">
        <x:v>Concluído</x:v>
      </x:c>
      <x:c r="G111" s="7" t="n">
        <x:v>32702.5</x:v>
      </x:c>
      <x:c r="H111" s="7" t="n">
        <x:v>23100</x:v>
      </x:c>
      <x:c r="I111" s="4" t="str">
        <x:v>PRODEL LOCACAO DE EQUIPAMENTOS PARA EVENTOS LTDA</x:v>
      </x:c>
      <x:c r="J111" s="4"/>
    </x:row>
    <x:row r="112" ht="26.399999618530273" hidden="0" customHeight="1">
      <x:c r="A112" s="4" t="n">
        <x:v>201</x:v>
      </x:c>
      <x:c r="B112" s="4"/>
      <x:c r="C112" s="8" t="n">
        <x:v>2025</x:v>
      </x:c>
      <x:c r="D112" s="4" t="str">
        <x:v>Compra direta</x:v>
      </x:c>
      <x:c r="E112" s="6" t="str">
        <x:v>Contratação de empresa especializada para criação de conteúdo visual que será projetado no evento "Dia da Inovação Ada Lovelace", em 02/10/2025 no TCEMG. (SEI 25.0.000006309-9)</x:v>
      </x:c>
      <x:c r="F112" s="4" t="str">
        <x:v>Concluído</x:v>
      </x:c>
      <x:c r="G112" s="7" t="n">
        <x:v>40000</x:v>
      </x:c>
      <x:c r="H112" s="7" t="n">
        <x:v>40000</x:v>
      </x:c>
      <x:c r="I112" s="4" t="str">
        <x:v>FIX BROS. PRODUCAO E ENTRETENIMENTO LTDA</x:v>
      </x:c>
      <x:c r="J112" s="4"/>
    </x:row>
    <x:row r="113" ht="26.399999618530273" hidden="0" customHeight="1">
      <x:c r="A113" s="4" t="n">
        <x:v>200</x:v>
      </x:c>
      <x:c r="B113" s="4"/>
      <x:c r="C113" s="8" t="n">
        <x:v>2025</x:v>
      </x:c>
      <x:c r="D113" s="4" t="str">
        <x:v>Compra direta</x:v>
      </x:c>
      <x:c r="E113" s="6" t="str">
        <x:v>Aquisição de arranjos de flores, para a solenidade de entrega do Colar do Mérito Ministro José Maria Alkmim, que ocorrerá no dia 09 de setembro de 2025</x:v>
      </x:c>
      <x:c r="F113" s="4" t="str">
        <x:v>Concluído</x:v>
      </x:c>
      <x:c r="G113" s="7" t="n">
        <x:v>3476.5</x:v>
      </x:c>
      <x:c r="H113" s="7" t="n">
        <x:v>3245</x:v>
      </x:c>
      <x:c r="I113" s="4" t="str">
        <x:v>A&amp;C EVENTOS LTDA - ME</x:v>
      </x:c>
      <x:c r="J113" s="4"/>
    </x:row>
    <x:row r="114" ht="26.399999618530273" hidden="0" customHeight="1">
      <x:c r="A114" s="4" t="n">
        <x:v>194</x:v>
      </x:c>
      <x:c r="B114" s="4"/>
      <x:c r="C114" s="8" t="n">
        <x:v>2025</x:v>
      </x:c>
      <x:c r="D114" s="4" t="str">
        <x:v>Compra direta</x:v>
      </x:c>
      <x:c r="E114" s="6" t="str">
        <x:v>Confecção de 100 porta diplomas, 10 pastas executivas e 3 pastas de conferência personalizadas conforme arte criada pelo TCEMG</x:v>
      </x:c>
      <x:c r="F114" s="4" t="str">
        <x:v>Concluído</x:v>
      </x:c>
      <x:c r="G114" s="7" t="n">
        <x:v>10550</x:v>
      </x:c>
      <x:c r="H114" s="7" t="n">
        <x:v>10550</x:v>
      </x:c>
      <x:c r="I114" s="4" t="str">
        <x:v>PLASTEFACTO INDUSTRIA E COMERCIO LTDA - EPP</x:v>
      </x:c>
      <x:c r="J114" s="4"/>
    </x:row>
    <x:row r="115" ht="26.399999618530273" hidden="0" customHeight="1">
      <x:c r="A115" s="4" t="n">
        <x:v>184</x:v>
      </x:c>
      <x:c r="B115" s="4"/>
      <x:c r="C115" s="8" t="n">
        <x:v>2025</x:v>
      </x:c>
      <x:c r="D115" s="4" t="str">
        <x:v>Compra direta</x:v>
      </x:c>
      <x:c r="E115" s="6" t="str">
        <x:v>Aquisição de 2 (duas) impressoras térmicas para
etiquetas.</x:v>
      </x:c>
      <x:c r="F115" s="4" t="str">
        <x:v>Concluído</x:v>
      </x:c>
      <x:c r="G115" s="7" t="n">
        <x:v>3261.3</x:v>
      </x:c>
      <x:c r="H115" s="7" t="n">
        <x:v>3260</x:v>
      </x:c>
      <x:c r="I115" s="4" t="str">
        <x:v>SEVENTEC COMERCIO LTDA</x:v>
      </x:c>
      <x:c r="J115" s="4"/>
    </x:row>
    <x:row r="116" ht="39.599998474121094" hidden="0" customHeight="1">
      <x:c r="A116" s="4" t="n">
        <x:v>178</x:v>
      </x:c>
      <x:c r="B116" s="4"/>
      <x:c r="C116" s="8" t="n">
        <x:v>2025</x:v>
      </x:c>
      <x:c r="D116" s="4" t="str">
        <x:v>Compra direta</x:v>
      </x:c>
      <x:c r="E116" s="6" t="str">
        <x:v>Confecção de 1.200 cadernos personalizados para distribuição aos participantes do II Encontro Nacional da Primeira Infância, que ocorrerá nos dias 27, 28 e 29 de agosto/2025. (SEI 25.0.000007949-1)</x:v>
      </x:c>
      <x:c r="F116" s="4" t="str">
        <x:v>Concluído</x:v>
      </x:c>
      <x:c r="G116" s="7" t="n">
        <x:v>26263.2</x:v>
      </x:c>
      <x:c r="H116" s="7" t="n">
        <x:v>18480</x:v>
      </x:c>
      <x:c r="I116" s="4" t="str">
        <x:v>RONA EDITORA LTDA</x:v>
      </x:c>
      <x:c r="J116" s="4"/>
    </x:row>
    <x:row r="117" ht="26.399999618530273" hidden="0" customHeight="1">
      <x:c r="A117" s="4" t="n">
        <x:v>171</x:v>
      </x:c>
      <x:c r="B117" s="4"/>
      <x:c r="C117" s="8" t="n">
        <x:v>2025</x:v>
      </x:c>
      <x:c r="D117" s="4" t="str">
        <x:v>Compra direta</x:v>
      </x:c>
      <x:c r="E117" s="6" t="str">
        <x:v>Prestação de serviços de locação de 03 (três) vans executivas com motorista profissional para deslocamento de autoridades e palestrantes.</x:v>
      </x:c>
      <x:c r="F117" s="4" t="str">
        <x:v>Concluído</x:v>
      </x:c>
      <x:c r="G117" s="7" t="n">
        <x:v>3300</x:v>
      </x:c>
      <x:c r="H117" s="7" t="n">
        <x:v>3300</x:v>
      </x:c>
      <x:c r="I117" s="4" t="str">
        <x:v>WADSON GERALDO D ALVES DE CASTRO LTDA</x:v>
      </x:c>
      <x:c r="J117" s="4"/>
    </x:row>
    <x:row r="118" ht="15" hidden="0" customHeight="1">
      <x:c r="A118" s="4" t="n">
        <x:v>170</x:v>
      </x:c>
      <x:c r="B118" s="4" t="str">
        <x:v>9475185</x:v>
      </x:c>
      <x:c r="C118" s="8" t="n">
        <x:v>2025</x:v>
      </x:c>
      <x:c r="D118" s="4" t="str">
        <x:v>Compra direta</x:v>
      </x:c>
      <x:c r="E118" s="6" t="str">
        <x:v>Prestação de serviços de confecção de 19 (dezenove) placas condecorativas.</x:v>
      </x:c>
      <x:c r="F118" s="4" t="str">
        <x:v>Concluído</x:v>
      </x:c>
      <x:c r="G118" s="7" t="n">
        <x:v>2590</x:v>
      </x:c>
      <x:c r="H118" s="7" t="n">
        <x:v>2590</x:v>
      </x:c>
      <x:c r="I118" s="4" t="str">
        <x:v>MARCO PLACAS INDUSTRIA E COMERCIO LTDA -EPP</x:v>
      </x:c>
      <x:c r="J118" s="4"/>
    </x:row>
    <x:row r="119" ht="39.599998474121094" hidden="0" customHeight="1">
      <x:c r="A119" s="4" t="n">
        <x:v>152</x:v>
      </x:c>
      <x:c r="B119" s="4" t="str">
        <x:v>9478701</x:v>
      </x:c>
      <x:c r="C119" s="8" t="n">
        <x:v>2025</x:v>
      </x:c>
      <x:c r="D119" s="4" t="str">
        <x:v>Compra direta</x:v>
      </x:c>
      <x:c r="E119" s="6" t="str">
        <x:v>Prestação de serviços contínuos
especializados em avaliação da qualidade microbiológica e físico-química do ar interior, proveniente dos sistemas de climatização dos Prédios Sede, Anexo I e Anexo II</x:v>
      </x:c>
      <x:c r="F119" s="4" t="str">
        <x:v>Concluído</x:v>
      </x:c>
      <x:c r="G119" s="7" t="n">
        <x:v>30972</x:v>
      </x:c>
      <x:c r="H119" s="7" t="n">
        <x:v>30972</x:v>
      </x:c>
      <x:c r="I119" s="4" t="str">
        <x:v>EUROLAB ANALISES TECNICAS LTDA</x:v>
      </x:c>
      <x:c r="J119" s="4"/>
    </x:row>
    <x:row r="120" ht="39.599998474121094" hidden="0" customHeight="1">
      <x:c r="A120" s="4" t="n">
        <x:v>150</x:v>
      </x:c>
      <x:c r="B120" s="4"/>
      <x:c r="C120" s="8" t="n">
        <x:v>2025</x:v>
      </x:c>
      <x:c r="D120" s="4" t="str">
        <x:v>Compra direta</x:v>
      </x:c>
      <x:c r="E120" s="6" t="str">
        <x:v>Contratação de empresa especializada na prestação de serviços de
locação de estrutura em boxtruss para o evento "XVI Congresso Nacional
do Ministério Público de Contas", incluindo os serviços de</x:v>
      </x:c>
      <x:c r="F120" s="4" t="str">
        <x:v>Concluído</x:v>
      </x:c>
      <x:c r="G120" s="7" t="n">
        <x:v>1420</x:v>
      </x:c>
      <x:c r="H120" s="7" t="n">
        <x:v>1420</x:v>
      </x:c>
      <x:c r="I120" s="4" t="str">
        <x:v>PLOTACAD IMPRESSAO DIGITAL LTDA - ME</x:v>
      </x:c>
      <x:c r="J120" s="4"/>
    </x:row>
    <x:row r="121" ht="39.599998474121094" hidden="0" customHeight="1">
      <x:c r="A121" s="4" t="n">
        <x:v>147</x:v>
      </x:c>
      <x:c r="B121" s="4"/>
      <x:c r="C121" s="8" t="n">
        <x:v>2025</x:v>
      </x:c>
      <x:c r="D121" s="4" t="str">
        <x:v>Compra direta</x:v>
      </x:c>
      <x:c r="E121" s="6" t="str">
        <x:v>Prestação de serviços de confecção e fornecimento de 2 (duas) Bandeiras Oficiais da República Federativa do Brasil (Bandeira do Brasil), 2 (duas) Bandeiras Oficiais do Estado de Minas Gerais, 3 (três)</x:v>
      </x:c>
      <x:c r="F121" s="4" t="str">
        <x:v>Concluído</x:v>
      </x:c>
      <x:c r="G121" s="7" t="n">
        <x:v>1875.5</x:v>
      </x:c>
      <x:c r="H121" s="7" t="n">
        <x:v>1875.5</x:v>
      </x:c>
      <x:c r="I121" s="4" t="str">
        <x:v>BANDERTTINI COMERCIO E CONFECCOES DE BANDEIRAS LTDA - ME</x:v>
      </x:c>
      <x:c r="J121" s="4"/>
    </x:row>
    <x:row r="122" ht="15" hidden="0" customHeight="1">
      <x:c r="A122" s="4" t="n">
        <x:v>140</x:v>
      </x:c>
      <x:c r="B122" s="4"/>
      <x:c r="C122" s="8" t="n">
        <x:v>2025</x:v>
      </x:c>
      <x:c r="D122" s="4" t="str">
        <x:v>Compra direta</x:v>
      </x:c>
      <x:c r="E122" s="6" t="str">
        <x:v>Aquisição de 04 (quatro) aparelhos telefônicos digitais sem fio com extensão para 01 (um) ramal</x:v>
      </x:c>
      <x:c r="F122" s="4" t="str">
        <x:v>Concluído</x:v>
      </x:c>
      <x:c r="G122" s="7" t="n">
        <x:v>1053.72</x:v>
      </x:c>
      <x:c r="H122" s="7" t="n">
        <x:v>1039.96</x:v>
      </x:c>
      <x:c r="I122" s="4" t="str">
        <x:v>LOJA ELETRICA LTDA</x:v>
      </x:c>
      <x:c r="J122" s="4"/>
    </x:row>
    <x:row r="123" ht="15" hidden="0" customHeight="1">
      <x:c r="A123" s="4" t="n">
        <x:v>139</x:v>
      </x:c>
      <x:c r="B123" s="4"/>
      <x:c r="C123" s="8" t="n">
        <x:v>2025</x:v>
      </x:c>
      <x:c r="D123" s="4" t="str">
        <x:v>Compra direta</x:v>
      </x:c>
      <x:c r="E123" s="6" t="str">
        <x:v>Reprodução fotográfica do Conselheiro Gilberto Diniz, com entrega integral.</x:v>
      </x:c>
      <x:c r="F123" s="4" t="str">
        <x:v>Concluído</x:v>
      </x:c>
      <x:c r="G123" s="7" t="n">
        <x:v>3500</x:v>
      </x:c>
      <x:c r="H123" s="7" t="n">
        <x:v>3500</x:v>
      </x:c>
      <x:c r="I123" s="4" t="str">
        <x:v>JOSE MARIA RIBEIRO 00739812653</x:v>
      </x:c>
      <x:c r="J123" s="4"/>
    </x:row>
    <x:row r="124" ht="26.399999618530273" hidden="0" customHeight="1">
      <x:c r="A124" s="4" t="n">
        <x:v>135</x:v>
      </x:c>
      <x:c r="B124" s="4"/>
      <x:c r="C124" s="8" t="n">
        <x:v>2025</x:v>
      </x:c>
      <x:c r="D124" s="4" t="str">
        <x:v>Compra direta</x:v>
      </x:c>
      <x:c r="E124" s="6" t="str">
        <x:v>Aquisição de 30 pen cards personalizados com o logotipo do TCEMG, sendo 15 constando a expressão "Prestação de Contas de 2025" e 15 com "Prestação de Contas de 2026"</x:v>
      </x:c>
      <x:c r="F124" s="4" t="str">
        <x:v>Concluído</x:v>
      </x:c>
      <x:c r="G124" s="7" t="n">
        <x:v>1150.5</x:v>
      </x:c>
      <x:c r="H124" s="7" t="n">
        <x:v>715.5</x:v>
      </x:c>
      <x:c r="I124" s="4" t="str">
        <x:v>NOGUEIRA COMERCIO DE BRINDES LTDA</x:v>
      </x:c>
      <x:c r="J124" s="4"/>
    </x:row>
    <x:row r="125" ht="26.399999618530273" hidden="0" customHeight="1">
      <x:c r="A125" s="4" t="n">
        <x:v>131</x:v>
      </x:c>
      <x:c r="B125" s="4"/>
      <x:c r="C125" s="8" t="n">
        <x:v>2025</x:v>
      </x:c>
      <x:c r="D125" s="4" t="str">
        <x:v>Compra direta</x:v>
      </x:c>
      <x:c r="E125" s="6" t="str">
        <x:v>prestação de serviços de locação de estrutura em boxtruss para o "Seminário Cultura, Controle e Direito: troca de olhares, saberes e fazeres".</x:v>
      </x:c>
      <x:c r="F125" s="4" t="str">
        <x:v>Concluído</x:v>
      </x:c>
      <x:c r="G125" s="7" t="n">
        <x:v>850</x:v>
      </x:c>
      <x:c r="H125" s="7" t="n">
        <x:v>850</x:v>
      </x:c>
      <x:c r="I125" s="4" t="str">
        <x:v>PLOTACAD IMPRESSAO DIGITAL LTDA - ME</x:v>
      </x:c>
      <x:c r="J125" s="4"/>
    </x:row>
    <x:row r="126" ht="26.399999618530273" hidden="0" customHeight="1">
      <x:c r="A126" s="4" t="n">
        <x:v>128</x:v>
      </x:c>
      <x:c r="B126" s="4"/>
      <x:c r="C126" s="8" t="n">
        <x:v>2025</x:v>
      </x:c>
      <x:c r="D126" s="4" t="str">
        <x:v>Compra direta</x:v>
      </x:c>
      <x:c r="E126" s="6" t="str">
        <x:v>Aquisição de 350 canetas personalizadas, com entrega integral, para realização do Seminário Cultura, Controle e Direito que será realizado nos dias 7 e 8 de julho de 2025</x:v>
      </x:c>
      <x:c r="F126" s="4" t="str">
        <x:v>Concluído</x:v>
      </x:c>
      <x:c r="G126" s="7" t="n">
        <x:v>864.5</x:v>
      </x:c>
      <x:c r="H126" s="7" t="n">
        <x:v>864.5</x:v>
      </x:c>
      <x:c r="I126" s="4" t="str">
        <x:v>IJA BRINDES E MARKETING PROMOCIONAL LTDA</x:v>
      </x:c>
      <x:c r="J126" s="4"/>
    </x:row>
    <x:row r="127" ht="15" hidden="0" customHeight="1">
      <x:c r="A127" s="4" t="n">
        <x:v>125</x:v>
      </x:c>
      <x:c r="B127" s="4"/>
      <x:c r="C127" s="8" t="n">
        <x:v>2025</x:v>
      </x:c>
      <x:c r="D127" s="4" t="str">
        <x:v>Compra direta</x:v>
      </x:c>
      <x:c r="E127" s="6" t="str">
        <x:v>Contratação de empresa especializada na prestação de serviços gráficos.</x:v>
      </x:c>
      <x:c r="F127" s="4" t="str">
        <x:v>Concluído</x:v>
      </x:c>
      <x:c r="G127" s="7" t="n">
        <x:v>3700</x:v>
      </x:c>
      <x:c r="H127" s="7" t="n">
        <x:v>3700</x:v>
      </x:c>
      <x:c r="I127" s="4" t="str">
        <x:v>INFORGRAF LTDA - ME</x:v>
      </x:c>
      <x:c r="J127" s="4"/>
    </x:row>
    <x:row r="128" ht="39.599998474121094" hidden="0" customHeight="1">
      <x:c r="A128" s="4" t="n">
        <x:v>103</x:v>
      </x:c>
      <x:c r="B128" s="4" t="str">
        <x:v>9471764</x:v>
      </x:c>
      <x:c r="C128" s="8" t="n">
        <x:v>2025</x:v>
      </x:c>
      <x:c r="D128" s="4" t="str">
        <x:v>Compra direta</x:v>
      </x:c>
      <x:c r="E128" s="6" t="str">
        <x:v>Prestação de serviços contínuos de chaveiro com fornecimento de todos os materiais, ferramentas e equipamentos necessários à realização dos serviços, nos Edifícios Sede, Anexos I e II do Tribunal.</x:v>
      </x:c>
      <x:c r="F128" s="4" t="str">
        <x:v>Concluído</x:v>
      </x:c>
      <x:c r="G128" s="7" t="n">
        <x:v>44600</x:v>
      </x:c>
      <x:c r="H128" s="7" t="n">
        <x:v>44600</x:v>
      </x:c>
      <x:c r="I128" s="4" t="str">
        <x:v>CHAVEIRO LUXEMBURGO LTDA -ME</x:v>
      </x:c>
      <x:c r="J128" s="4"/>
    </x:row>
    <x:row r="129" ht="15" hidden="0" customHeight="1">
      <x:c r="A129" s="4" t="n">
        <x:v>99</x:v>
      </x:c>
      <x:c r="B129" s="4" t="str">
        <x:v>9470579</x:v>
      </x:c>
      <x:c r="C129" s="8" t="n">
        <x:v>2025</x:v>
      </x:c>
      <x:c r="D129" s="4" t="str">
        <x:v>Compra direta</x:v>
      </x:c>
      <x:c r="E129" s="6" t="str">
        <x:v>Contratação de empresa especializada na seleção e entrega de publicações</x:v>
      </x:c>
      <x:c r="F129" s="4" t="str">
        <x:v>Concluído</x:v>
      </x:c>
      <x:c r="G129" s="7" t="n">
        <x:v>1368</x:v>
      </x:c>
      <x:c r="H129" s="7" t="n">
        <x:v>1368</x:v>
      </x:c>
      <x:c r="I129" s="4" t="str">
        <x:v>WEBJUR PROCESSAMENTO DE DADOS LTDA</x:v>
      </x:c>
      <x:c r="J129" s="4"/>
    </x:row>
    <x:row r="130" ht="26.399999618530273" hidden="0" customHeight="1">
      <x:c r="A130" s="4" t="n">
        <x:v>94</x:v>
      </x:c>
      <x:c r="B130" s="4"/>
      <x:c r="C130" s="8" t="n">
        <x:v>2025</x:v>
      </x:c>
      <x:c r="D130" s="4" t="str">
        <x:v>Compra direta</x:v>
      </x:c>
      <x:c r="E130" s="6" t="str">
        <x:v>Prestação de serviços de traslado do Aeroporto de Montes Claros à cidade de Salinas e vice-versa.</x:v>
      </x:c>
      <x:c r="F130" s="4" t="str">
        <x:v>Concluído</x:v>
      </x:c>
      <x:c r="G130" s="7" t="n">
        <x:v>3200</x:v>
      </x:c>
      <x:c r="H130" s="7" t="n">
        <x:v>3200</x:v>
      </x:c>
      <x:c r="I130" s="4" t="str">
        <x:v>56.105.021 GESSYKA FERNANDA MENDES DE JESUS</x:v>
      </x:c>
      <x:c r="J130" s="4"/>
    </x:row>
    <x:row r="131" ht="15" hidden="0" customHeight="1">
      <x:c r="A131" s="4" t="n">
        <x:v>82</x:v>
      </x:c>
      <x:c r="B131" s="4"/>
      <x:c r="C131" s="8" t="n">
        <x:v>2025</x:v>
      </x:c>
      <x:c r="D131" s="4" t="str">
        <x:v>Compra direta</x:v>
      </x:c>
      <x:c r="E131" s="6" t="str">
        <x:v>Aquisição de 300 pins, conforme SEI 25.0.000003152-9.</x:v>
      </x:c>
      <x:c r="F131" s="4" t="str">
        <x:v>Concluído</x:v>
      </x:c>
      <x:c r="G131" s="7" t="n">
        <x:v>1455</x:v>
      </x:c>
      <x:c r="H131" s="7" t="n">
        <x:v>1455</x:v>
      </x:c>
      <x:c r="I131" s="4" t="str">
        <x:v>TEC FREE INDUSTRIA E COMERCIO LTDA - EPP</x:v>
      </x:c>
      <x:c r="J131" s="4"/>
    </x:row>
    <x:row r="132" ht="15" hidden="0" customHeight="1">
      <x:c r="A132" s="4" t="n">
        <x:v>77</x:v>
      </x:c>
      <x:c r="B132" s="4"/>
      <x:c r="C132" s="8" t="n">
        <x:v>2025</x:v>
      </x:c>
      <x:c r="D132" s="4" t="str">
        <x:v>Compra direta</x:v>
      </x:c>
      <x:c r="E132" s="6" t="str">
        <x:v>01 (uma) caixa de som  (multimídia)</x:v>
      </x:c>
      <x:c r="F132" s="4" t="str">
        <x:v>Concluído</x:v>
      </x:c>
      <x:c r="G132" s="7" t="n">
        <x:v>156</x:v>
      </x:c>
      <x:c r="H132" s="7" t="n">
        <x:v>156</x:v>
      </x:c>
      <x:c r="I132" s="4" t="str">
        <x:v>SUMCAMP COMERCIAL LTDA</x:v>
      </x:c>
      <x:c r="J132" s="4"/>
    </x:row>
    <x:row r="133" ht="15" hidden="0" customHeight="1">
      <x:c r="A133" s="4" t="n">
        <x:v>76</x:v>
      </x:c>
      <x:c r="B133" s="4"/>
      <x:c r="C133" s="8" t="n">
        <x:v>2025</x:v>
      </x:c>
      <x:c r="D133" s="4" t="str">
        <x:v>Compra direta</x:v>
      </x:c>
      <x:c r="E133" s="6" t="str">
        <x:v>Contratação de empresa especializada na seleção e entrega de publicações.</x:v>
      </x:c>
      <x:c r="F133" s="4" t="str">
        <x:v>Concluído</x:v>
      </x:c>
      <x:c r="G133" s="7" t="n">
        <x:v>1368</x:v>
      </x:c>
      <x:c r="H133" s="7" t="n">
        <x:v>1368</x:v>
      </x:c>
      <x:c r="I133" s="4" t="str">
        <x:v>WEBJUR PROCESSAMENTO DE DADOS LTDA</x:v>
      </x:c>
      <x:c r="J133" s="4"/>
    </x:row>
    <x:row r="134" ht="39.599998474121094" hidden="0" customHeight="1">
      <x:c r="A134" s="4" t="n">
        <x:v>68</x:v>
      </x:c>
      <x:c r="B134" s="4"/>
      <x:c r="C134" s="8" t="n">
        <x:v>2025</x:v>
      </x:c>
      <x:c r="D134" s="4" t="str">
        <x:v>Compra direta</x:v>
      </x:c>
      <x:c r="E134" s="6" t="str">
        <x:v>Contratação de empresa para a prestação de serviços de customização de stands do TCEMG no evento 40º Congresso Mineiro de Municípios promovido pela Associação Mineira de Municípios - AMM.</x:v>
      </x:c>
      <x:c r="F134" s="4" t="str">
        <x:v>Concluído</x:v>
      </x:c>
      <x:c r="G134" s="7" t="n">
        <x:v>14520</x:v>
      </x:c>
      <x:c r="H134" s="7" t="n">
        <x:v>14520</x:v>
      </x:c>
      <x:c r="I134" s="4" t="str">
        <x:v>AMD PROJETOS ENGENHARIA E SERVICOS DE CONSTRUCAO LTDA</x:v>
      </x:c>
      <x:c r="J134" s="4"/>
    </x:row>
    <x:row r="135" ht="26.399999618530273" hidden="0" customHeight="1">
      <x:c r="A135" s="4" t="n">
        <x:v>56</x:v>
      </x:c>
      <x:c r="B135" s="4"/>
      <x:c r="C135" s="8" t="n">
        <x:v>2025</x:v>
      </x:c>
      <x:c r="D135" s="4" t="str">
        <x:v>Compra direta</x:v>
      </x:c>
      <x:c r="E135" s="6" t="str">
        <x:v>Contratação de serviço de confecção de 01 (um) aparador em vidro temperado com saia de sustentação com entrega integral.</x:v>
      </x:c>
      <x:c r="F135" s="4" t="str">
        <x:v>Concluído</x:v>
      </x:c>
      <x:c r="G135" s="7" t="n">
        <x:v>2759.31</x:v>
      </x:c>
      <x:c r="H135" s="7" t="n">
        <x:v>2623</x:v>
      </x:c>
      <x:c r="I135" s="4" t="str">
        <x:v>52.978.431 WELLINGTON DE PAULA</x:v>
      </x:c>
      <x:c r="J135" s="4"/>
    </x:row>
    <x:row r="136" ht="26.399999618530273" hidden="0" customHeight="1">
      <x:c r="A136" s="4" t="n">
        <x:v>45</x:v>
      </x:c>
      <x:c r="B136" s="4"/>
      <x:c r="C136" s="8" t="n">
        <x:v>2025</x:v>
      </x:c>
      <x:c r="D136" s="4" t="str">
        <x:v>Compra direta</x:v>
      </x:c>
      <x:c r="E136" s="6" t="str">
        <x:v>Aquisição de 70 kg (setenta quilogramas) de Café torrado e moído; 100% (cem por cento) da espécie arábica; tipo gourmet; padrão de qualidade global entre 7,3 e 10 pontos; selo ABIC</x:v>
      </x:c>
      <x:c r="F136" s="4" t="str">
        <x:v>Concluído</x:v>
      </x:c>
      <x:c r="G136" s="7" t="n">
        <x:v>5349.4</x:v>
      </x:c>
      <x:c r="H136" s="7" t="n">
        <x:v>4830</x:v>
      </x:c>
      <x:c r="I136" s="4" t="str">
        <x:v>EMPRESA DE PESQUISA AGROPECUARIA DE MINAS GERAIS - EPAMIG</x:v>
      </x:c>
      <x:c r="J136" s="4"/>
    </x:row>
    <x:row r="137" ht="26.399999618530273" hidden="0" customHeight="1">
      <x:c r="A137" s="4" t="n">
        <x:v>32</x:v>
      </x:c>
      <x:c r="B137" s="4"/>
      <x:c r="C137" s="8" t="n">
        <x:v>2025</x:v>
      </x:c>
      <x:c r="D137" s="4" t="str">
        <x:v>Compra direta</x:v>
      </x:c>
      <x:c r="E137" s="6" t="str">
        <x:v>Prestação de serviços de remanejamento de 2 (dois) aparelhos de ar-condicionado tipo cassete em salas do 2º andar do Edifício Sede do Tribunal de Contas do Estado de Minas Gerais.</x:v>
      </x:c>
      <x:c r="F137" s="4" t="str">
        <x:v>Concluído</x:v>
      </x:c>
      <x:c r="G137" s="7" t="n">
        <x:v>9400</x:v>
      </x:c>
      <x:c r="H137" s="7" t="n">
        <x:v>9400</x:v>
      </x:c>
      <x:c r="I137" s="4" t="str">
        <x:v>E S N - ENGENHARIA, SOLUCOES E NEGOCIOS EM AR CONDICIONADO LTDA - ME</x:v>
      </x:c>
      <x:c r="J137" s="4"/>
    </x:row>
    <x:row r="138" ht="26.399999618530273" hidden="0" customHeight="1">
      <x:c r="A138" s="4" t="n">
        <x:v>23</x:v>
      </x:c>
      <x:c r="B138" s="4"/>
      <x:c r="C138" s="8" t="n">
        <x:v>2025</x:v>
      </x:c>
      <x:c r="D138" s="4" t="str">
        <x:v>Compra direta</x:v>
      </x:c>
      <x:c r="E138" s="6" t="str">
        <x:v>Shampoo e desengordurante automotivo, referente aos lotes 4 e 5 fracassados na COTEP 16/2025.</x:v>
      </x:c>
      <x:c r="F138" s="4" t="str">
        <x:v>Concluído</x:v>
      </x:c>
      <x:c r="G138" s="7" t="n">
        <x:v>495</x:v>
      </x:c>
      <x:c r="H138" s="7" t="n">
        <x:v>560</x:v>
      </x:c>
      <x:c r="I138" s="4" t="str">
        <x:v>ROTIBRIL INDUSTRIA E COMERCIO LTDA-ME</x:v>
      </x:c>
      <x:c r="J138" s="4"/>
    </x:row>
    <x:row r="139" ht="15" hidden="0" customHeight="1">
      <x:c r="A139" s="4" t="n">
        <x:v>18</x:v>
      </x:c>
      <x:c r="B139" s="4"/>
      <x:c r="C139" s="8" t="n">
        <x:v>2025</x:v>
      </x:c>
      <x:c r="D139" s="4" t="str">
        <x:v>Compra direta</x:v>
      </x:c>
      <x:c r="E139" s="6" t="str">
        <x:v>Armário em MDF</x:v>
      </x:c>
      <x:c r="F139" s="4" t="str">
        <x:v>Concluído</x:v>
      </x:c>
      <x:c r="G139" s="7" t="n">
        <x:v>1800</x:v>
      </x:c>
      <x:c r="H139" s="7" t="n">
        <x:v>1800</x:v>
      </x:c>
      <x:c r="I139" s="4" t="str">
        <x:v>52.802.339 TIAGO DANIEL ALVES DIAS</x:v>
      </x:c>
      <x:c r="J139" s="4"/>
    </x:row>
    <x:row r="140" ht="15" hidden="0" customHeight="1">
      <x:c r="A140" s="4" t="n">
        <x:v>17</x:v>
      </x:c>
      <x:c r="B140" s="4"/>
      <x:c r="C140" s="8" t="n">
        <x:v>2025</x:v>
      </x:c>
      <x:c r="D140" s="4" t="str">
        <x:v>Compra direta</x:v>
      </x:c>
      <x:c r="E140" s="6" t="str">
        <x:v>Confecção de 02 (duas) molduras em madeira, com entrega integral</x:v>
      </x:c>
      <x:c r="F140" s="4" t="str">
        <x:v>Concluído</x:v>
      </x:c>
      <x:c r="G140" s="7" t="n">
        <x:v>1350</x:v>
      </x:c>
      <x:c r="H140" s="7" t="n">
        <x:v>1350</x:v>
      </x:c>
      <x:c r="I140" s="4" t="str">
        <x:v>ARTE MOLDURAS LTDA</x:v>
      </x:c>
      <x:c r="J140" s="4"/>
    </x:row>
    <x:row r="141" ht="39.599998474121094" hidden="0" customHeight="1">
      <x:c r="A141" s="4" t="n">
        <x:v>13</x:v>
      </x:c>
      <x:c r="B141" s="4"/>
      <x:c r="C141" s="8" t="n">
        <x:v>2025</x:v>
      </x:c>
      <x:c r="D141" s="4" t="str">
        <x:v>Compra direta</x:v>
      </x:c>
      <x:c r="E141" s="6" t="str">
        <x:v>Aquisição de  refletores tipo holofote com controle remoto led para iluminar as fachadas dos prédios Principal e Anexo e de luminárias para reposição nos Edifícios Sede e Anexo I deste Tribunal.</x:v>
      </x:c>
      <x:c r="F141" s="4" t="str">
        <x:v>Concluído</x:v>
      </x:c>
      <x:c r="G141" s="7" t="n">
        <x:v>21388</x:v>
      </x:c>
      <x:c r="H141" s="7" t="n">
        <x:v>21388</x:v>
      </x:c>
      <x:c r="I141" s="4" t="str">
        <x:v>INFOLEDBH COMERCIO ATACADISTA DE PRODUTOS DE ILUMINACAO LTDA</x:v>
      </x:c>
      <x:c r="J141" s="4"/>
    </x:row>
    <x:row r="142" ht="15" hidden="0" customHeight="1">
      <x:c r="A142" s="4" t="n">
        <x:v>12</x:v>
      </x:c>
      <x:c r="B142" s="4"/>
      <x:c r="C142" s="8" t="n">
        <x:v>2025</x:v>
      </x:c>
      <x:c r="D142" s="4" t="str">
        <x:v>Compra direta</x:v>
      </x:c>
      <x:c r="E142" s="6" t="str">
        <x:v>Locação de robô humanoide</x:v>
      </x:c>
      <x:c r="F142" s="4" t="str">
        <x:v>Concluído</x:v>
      </x:c>
      <x:c r="G142" s="7" t="n">
        <x:v>16904.42</x:v>
      </x:c>
      <x:c r="H142" s="7" t="n">
        <x:v>16904.42</x:v>
      </x:c>
      <x:c r="I142" s="4" t="str">
        <x:v>RCL COMERCIO IMPORTACAO E SERVICOS LTDA</x:v>
      </x:c>
      <x:c r="J142" s="4"/>
    </x:row>
    <x:row r="143" ht="15" hidden="0" customHeight="1">
      <x:c r="A143" s="4" t="n">
        <x:v>11</x:v>
      </x:c>
      <x:c r="B143" s="4"/>
      <x:c r="C143" s="8" t="n">
        <x:v>2025</x:v>
      </x:c>
      <x:c r="D143" s="4" t="str">
        <x:v>Compra direta</x:v>
      </x:c>
      <x:c r="E143" s="6" t="str">
        <x:v>Parafusadeira e brocas</x:v>
      </x:c>
      <x:c r="F143" s="4" t="str">
        <x:v>Concluído</x:v>
      </x:c>
      <x:c r="G143" s="7" t="n">
        <x:v>405.52</x:v>
      </x:c>
      <x:c r="H143" s="7" t="n">
        <x:v>405.09</x:v>
      </x:c>
      <x:c r="I143" s="4" t="str">
        <x:v>MINAS FERRAMENTAS LTDA</x:v>
      </x:c>
      <x:c r="J143" s="4"/>
    </x:row>
    <x:row r="144" ht="39.599998474121094" hidden="0" customHeight="1">
      <x:c r="A144" s="4" t="n">
        <x:v>6</x:v>
      </x:c>
      <x:c r="B144" s="4" t="str">
        <x:v>9447941</x:v>
      </x:c>
      <x:c r="C144" s="8" t="n">
        <x:v>2025</x:v>
      </x:c>
      <x:c r="D144" s="4" t="str">
        <x:v>Compra direta</x:v>
      </x:c>
      <x:c r="E144" s="6" t="str">
        <x:v>Contratação de seguradora para prestação de serviços de seguro de acidentes pessoais de vida  para 60 (sessenta) estagiários do Tribunal de Contas do Estado de Minas Gerais, pelo período de 12 meses.</x:v>
      </x:c>
      <x:c r="F144" s="4" t="str">
        <x:v>Concluído</x:v>
      </x:c>
      <x:c r="G144" s="7" t="n">
        <x:v>612</x:v>
      </x:c>
      <x:c r="H144" s="7" t="n">
        <x:v>612</x:v>
      </x:c>
      <x:c r="I144" s="4" t="str">
        <x:v>MBM SEGURADORA SA</x:v>
      </x:c>
      <x:c r="J144" s="4"/>
    </x:row>
    <x:row r="145" ht="15" hidden="0" customHeight="1">
      <x:c r="A145" s="4" t="n">
        <x:v>5</x:v>
      </x:c>
      <x:c r="B145" s="4"/>
      <x:c r="C145" s="8" t="n">
        <x:v>2025</x:v>
      </x:c>
      <x:c r="D145" s="4" t="str">
        <x:v>Compra direta</x:v>
      </x:c>
      <x:c r="E145" s="6" t="str">
        <x:v>Serviço de cerimonial para Posse do Presidente</x:v>
      </x:c>
      <x:c r="F145" s="4" t="str">
        <x:v>Concluído</x:v>
      </x:c>
      <x:c r="G145" s="7" t="n">
        <x:v>59800</x:v>
      </x:c>
      <x:c r="H145" s="7" t="n">
        <x:v>59800</x:v>
      </x:c>
      <x:c r="I145" s="4" t="str">
        <x:v>LB EVENTOS LTDA</x:v>
      </x:c>
      <x:c r="J145" s="4"/>
    </x:row>
    <x:row r="146" ht="43.20000076293945" hidden="0" customHeight="1">
      <x:c r="A146" s="4" t="n">
        <x:v>4</x:v>
      </x:c>
      <x:c r="B146" s="4"/>
      <x:c r="C146" s="8" t="n">
        <x:v>2025</x:v>
      </x:c>
      <x:c r="D146" s="4" t="str">
        <x:v>Compra direta</x:v>
      </x:c>
      <x:c r="E146" s="6" t="str">
        <x:v>Contratação de empresa especializada para prestação de locação de estrutura para boxtruss para a cerimônia de posse da gestão 2024-2025.
</x:v>
      </x:c>
      <x:c r="F146" s="4" t="str">
        <x:v>Concluído</x:v>
      </x:c>
      <x:c r="G146" s="7" t="n">
        <x:v>1190</x:v>
      </x:c>
      <x:c r="H146" s="7" t="n">
        <x:v>1190</x:v>
      </x:c>
      <x:c r="I146" s="4" t="str">
        <x:v>PLOTACAD IMPRESSAO DIGITAL LTDA - ME</x:v>
      </x:c>
      <x:c r="J146" s="4"/>
    </x:row>
    <x:row r="147" ht="15" hidden="0" customHeight="1">
      <x:c r="A147" s="4" t="n">
        <x:v>3</x:v>
      </x:c>
      <x:c r="B147" s="4"/>
      <x:c r="C147" s="8" t="n">
        <x:v>2025</x:v>
      </x:c>
      <x:c r="D147" s="4" t="str">
        <x:v>Compra direta</x:v>
      </x:c>
      <x:c r="E147" s="6" t="str">
        <x:v>Confecção de Convites para solenidade de posse do presidente do TCEMG.</x:v>
      </x:c>
      <x:c r="F147" s="4" t="str">
        <x:v>Concluído</x:v>
      </x:c>
      <x:c r="G147" s="7" t="n">
        <x:v>7340</x:v>
      </x:c>
      <x:c r="H147" s="7" t="n">
        <x:v>7340</x:v>
      </x:c>
      <x:c r="I147" s="4" t="str">
        <x:v>GRAFICA CENTRAL EDITORA E DIGITAL LTDA</x:v>
      </x:c>
      <x:c r="J147" s="4"/>
    </x:row>
    <x:row r="148" ht="15" hidden="0" customHeight="1">
      <x:c r="A148" s="4" t="n">
        <x:v>214</x:v>
      </x:c>
      <x:c r="B148" s="4"/>
      <x:c r="C148" s="8" t="n">
        <x:v>2024</x:v>
      </x:c>
      <x:c r="D148" s="4" t="str">
        <x:v>Compra direta</x:v>
      </x:c>
      <x:c r="E148" s="6" t="str">
        <x:v>Aquisição de 4000 (mil) Cartões PVC Adesivados Flexíveis, sem tarja</x:v>
      </x:c>
      <x:c r="F148" s="4" t="str">
        <x:v>Concluído</x:v>
      </x:c>
      <x:c r="G148" s="7" t="n">
        <x:v>4680</x:v>
      </x:c>
      <x:c r="H148" s="7" t="n">
        <x:v>4680</x:v>
      </x:c>
      <x:c r="I148" s="4" t="str">
        <x:v>IDCONTROLL IDENTIFICACAO E TECNOLOGIA LTDA</x:v>
      </x:c>
      <x:c r="J148" s="4"/>
    </x:row>
    <x:row r="149" ht="26.399999618530273" hidden="0" customHeight="1">
      <x:c r="A149" s="4" t="n">
        <x:v>212</x:v>
      </x:c>
      <x:c r="B149" s="4"/>
      <x:c r="C149" s="8" t="n">
        <x:v>2024</x:v>
      </x:c>
      <x:c r="D149" s="4" t="str">
        <x:v>Compra direta</x:v>
      </x:c>
      <x:c r="E149" s="6" t="str">
        <x:v>Prestação  de serviços de conserto de 01 (UMA) máquina de café, do 4º andar do edifício anexo, de uso na copa das autoridades,.</x:v>
      </x:c>
      <x:c r="F149" s="4" t="str">
        <x:v>Concluído</x:v>
      </x:c>
      <x:c r="G149" s="7" t="n">
        <x:v>755</x:v>
      </x:c>
      <x:c r="H149" s="7" t="n">
        <x:v>755</x:v>
      </x:c>
      <x:c r="I149" s="4" t="str">
        <x:v>OLIMAQ SERVICOS E COMERCIO LTDA -ME</x:v>
      </x:c>
      <x:c r="J149" s="4"/>
    </x:row>
    <x:row r="150" ht="39.599998474121094" hidden="0" customHeight="1">
      <x:c r="A150" s="4" t="n">
        <x:v>207</x:v>
      </x:c>
      <x:c r="B150" s="4" t="str">
        <x:v>9445682</x:v>
      </x:c>
      <x:c r="C150" s="8" t="n">
        <x:v>2024</x:v>
      </x:c>
      <x:c r="D150" s="4" t="str">
        <x:v>Compra direta</x:v>
      </x:c>
      <x:c r="E150" s="6" t="str">
        <x:v>Adesão ao item 7 do lote 1 da Ata de Registro de Preços nº 039/2023 do Tribunal de Justiça de Pernambuco, para a aquisição de licenças de subscrição de softwares de colaboração em nuvem.</x:v>
      </x:c>
      <x:c r="F150" s="4" t="str">
        <x:v>Concluído</x:v>
      </x:c>
      <x:c r="G150" s="7" t="n">
        <x:v>933458.4</x:v>
      </x:c>
      <x:c r="H150" s="7" t="n">
        <x:v>905457.6</x:v>
      </x:c>
      <x:c r="I150" s="4" t="str">
        <x:v>TELEFONICA BRASIL S.A.</x:v>
      </x:c>
      <x:c r="J150" s="4"/>
    </x:row>
    <x:row r="151" ht="39.599998474121094" hidden="0" customHeight="1">
      <x:c r="A151" s="4" t="n">
        <x:v>203</x:v>
      </x:c>
      <x:c r="B151" s="4"/>
      <x:c r="C151" s="8" t="n">
        <x:v>2024</x:v>
      </x:c>
      <x:c r="D151" s="4" t="str">
        <x:v>Compra direta</x:v>
      </x:c>
      <x:c r="E151" s="6" t="str">
        <x:v>CARTAO PVC - IDENTIFICACAO: ADESIVADO, SEM TARJA; TAMANHO: 86 X 54 MM X 0,8 MM (AxLx
E); COR: CONFORME SOLICITADO PELO ORGAO/ENTIDADE;</x:v>
      </x:c>
      <x:c r="F151" s="4" t="str">
        <x:v>Concluído</x:v>
      </x:c>
      <x:c r="G151" s="7" t="n">
        <x:v>4680</x:v>
      </x:c>
      <x:c r="H151" s="7" t="n">
        <x:v>4680</x:v>
      </x:c>
      <x:c r="I151" s="4" t="str">
        <x:v>SUPERCARD IDENTIFICACAO LTDA</x:v>
      </x:c>
      <x:c r="J151" s="4"/>
    </x:row>
    <x:row r="152" ht="26.399999618530273" hidden="0" customHeight="1">
      <x:c r="A152" s="4" t="n">
        <x:v>197</x:v>
      </x:c>
      <x:c r="B152" s="4"/>
      <x:c r="C152" s="8" t="n">
        <x:v>2024</x:v>
      </x:c>
      <x:c r="D152" s="4" t="str">
        <x:v>Compra direta</x:v>
      </x:c>
      <x:c r="E152" s="6" t="str">
        <x:v>fornecimento de alimentação para os participantes do "III Congresso Internacional de Direito Financeiro e Cidadania", para atender um público de 250 pessoas, nos dias 25/11 e 26/11</x:v>
      </x:c>
      <x:c r="F152" s="4" t="str">
        <x:v>Concluído</x:v>
      </x:c>
      <x:c r="G152" s="7" t="n">
        <x:v>6090</x:v>
      </x:c>
      <x:c r="H152" s="7" t="n">
        <x:v>6090</x:v>
      </x:c>
      <x:c r="I152" s="4" t="str">
        <x:v>MARIA DAS GRACAS GONCALVES CANTINA</x:v>
      </x:c>
      <x:c r="J152" s="4"/>
    </x:row>
    <x:row r="153" ht="15" hidden="0" customHeight="1">
      <x:c r="A153" s="4" t="n">
        <x:v>187</x:v>
      </x:c>
      <x:c r="B153" s="4"/>
      <x:c r="C153" s="8" t="n">
        <x:v>2024</x:v>
      </x:c>
      <x:c r="D153" s="4" t="str">
        <x:v>Compra direta</x:v>
      </x:c>
      <x:c r="E153" s="6" t="str">
        <x:v>Espelhos para elevadores</x:v>
      </x:c>
      <x:c r="F153" s="4" t="str">
        <x:v>Concluído</x:v>
      </x:c>
      <x:c r="G153" s="7" t="n">
        <x:v>876</x:v>
      </x:c>
      <x:c r="H153" s="7" t="n">
        <x:v>876</x:v>
      </x:c>
      <x:c r="I153" s="4" t="str">
        <x:v>BRUNO JOSE GONCALVES PIRES 03543584642 - ME</x:v>
      </x:c>
      <x:c r="J153" s="4"/>
    </x:row>
    <x:row r="154" ht="39.599998474121094" hidden="0" customHeight="1">
      <x:c r="A154" s="4" t="n">
        <x:v>179</x:v>
      </x:c>
      <x:c r="B154" s="4"/>
      <x:c r="C154" s="8" t="n">
        <x:v>2024</x:v>
      </x:c>
      <x:c r="D154" s="4" t="str">
        <x:v>Compra direta</x:v>
      </x:c>
      <x:c r="E154" s="6" t="str">
        <x:v>PA PARA EQUIPAMENTOS MEDICO-HOSPITALARES - IDENTIFICACAO: PA DESCARTAVEL COM
CABO E CONECTOR PARA ADULTO; EQUIPAMENTO: DESFIBRILADOR EXTERNO AUTOMATICO
(DEA); MARCA/MODELO: CMOS DRAKE/FUTURA;</x:v>
      </x:c>
      <x:c r="F154" s="4" t="str">
        <x:v>Concluído</x:v>
      </x:c>
      <x:c r="G154" s="7" t="n">
        <x:v>602.84</x:v>
      </x:c>
      <x:c r="H154" s="7" t="n">
        <x:v>602.84</x:v>
      </x:c>
      <x:c r="I154" s="4" t="str">
        <x:v>CALL MEDICAL TECNOLOGIA EM SERVICOS LTDA</x:v>
      </x:c>
      <x:c r="J154" s="4"/>
    </x:row>
    <x:row r="155" ht="15" hidden="0" customHeight="1">
      <x:c r="A155" s="4" t="n">
        <x:v>178</x:v>
      </x:c>
      <x:c r="B155" s="4"/>
      <x:c r="C155" s="8" t="n">
        <x:v>2024</x:v>
      </x:c>
      <x:c r="D155" s="4" t="str">
        <x:v>Compra direta</x:v>
      </x:c>
      <x:c r="E155" s="6" t="str">
        <x:v>Manutenção em dois equipamentos de Desfibrilador Externo Automático - DEA</x:v>
      </x:c>
      <x:c r="F155" s="4" t="str">
        <x:v>Concluído</x:v>
      </x:c>
      <x:c r="G155" s="7" t="n">
        <x:v>1180</x:v>
      </x:c>
      <x:c r="H155" s="7" t="n">
        <x:v>1180</x:v>
      </x:c>
      <x:c r="I155" s="4" t="str">
        <x:v>CALL MEDICAL TECNOLOGIA EM SERVICOS LTDA</x:v>
      </x:c>
      <x:c r="J155" s="4"/>
    </x:row>
    <x:row r="156" ht="39.599998474121094" hidden="0" customHeight="1">
      <x:c r="A156" s="4" t="n">
        <x:v>175</x:v>
      </x:c>
      <x:c r="B156" s="4" t="str">
        <x:v>9445767</x:v>
      </x:c>
      <x:c r="C156" s="8" t="n">
        <x:v>2024</x:v>
      </x:c>
      <x:c r="D156" s="4" t="str">
        <x:v>Compra direta</x:v>
      </x:c>
      <x:c r="E156" s="6" t="str">
        <x:v>Elaboração de projeto de ar condicionado para modernização das torres de resfriamento (Modelo 550 / 4 / 7,5 / 8 - BG. Ref.: ALFATERM), quadro elétrico e motobombas do edifício Anexo I do Tribunal.</x:v>
      </x:c>
      <x:c r="F156" s="4" t="str">
        <x:v>Concluído</x:v>
      </x:c>
      <x:c r="G156" s="7" t="n">
        <x:v>21000</x:v>
      </x:c>
      <x:c r="H156" s="7" t="n">
        <x:v>21000</x:v>
      </x:c>
      <x:c r="I156" s="4" t="str">
        <x:v>DELTA T ENGENHARIA MECANICA LTDA</x:v>
      </x:c>
      <x:c r="J156" s="4"/>
    </x:row>
    <x:row r="157" ht="26.399999618530273" hidden="0" customHeight="1">
      <x:c r="A157" s="4" t="n">
        <x:v>171</x:v>
      </x:c>
      <x:c r="B157" s="4"/>
      <x:c r="C157" s="8" t="n">
        <x:v>2024</x:v>
      </x:c>
      <x:c r="D157" s="4" t="str">
        <x:v>Compra direta</x:v>
      </x:c>
      <x:c r="E157" s="6" t="str">
        <x:v>Prestação de serviços de manutenção em computador, considerando toda a mão de obra e a respectiva troca de peças.</x:v>
      </x:c>
      <x:c r="F157" s="4" t="str">
        <x:v>Concluído</x:v>
      </x:c>
      <x:c r="G157" s="7" t="n">
        <x:v>2899.29</x:v>
      </x:c>
      <x:c r="H157" s="7" t="n">
        <x:v>2899.29</x:v>
      </x:c>
      <x:c r="I157" s="4" t="str">
        <x:v>MICROSUPPLY LTDA</x:v>
      </x:c>
      <x:c r="J157" s="4"/>
    </x:row>
    <x:row r="158" ht="15" hidden="0" customHeight="1">
      <x:c r="A158" s="4" t="n">
        <x:v>165</x:v>
      </x:c>
      <x:c r="B158" s="4"/>
      <x:c r="C158" s="8" t="n">
        <x:v>2024</x:v>
      </x:c>
      <x:c r="D158" s="4" t="str">
        <x:v>Compra direta</x:v>
      </x:c>
      <x:c r="E158" s="6" t="str">
        <x:v>Aquisição de 500 (quinhentas) pacotes de pipocas doce (tipo Aritana), de 100 (cem) gramas.</x:v>
      </x:c>
      <x:c r="F158" s="4" t="str">
        <x:v>Concluído</x:v>
      </x:c>
      <x:c r="G158" s="7" t="n">
        <x:v>1000</x:v>
      </x:c>
      <x:c r="H158" s="7" t="n">
        <x:v>1000</x:v>
      </x:c>
      <x:c r="I158" s="4" t="str">
        <x:v>PORTES E PORTES COMERCIAL LTDA -ME</x:v>
      </x:c>
      <x:c r="J158" s="4"/>
    </x:row>
    <x:row r="159" ht="26.399999618530273" hidden="0" customHeight="1">
      <x:c r="A159" s="4" t="n">
        <x:v>164</x:v>
      </x:c>
      <x:c r="B159" s="4"/>
      <x:c r="C159" s="8" t="n">
        <x:v>2024</x:v>
      </x:c>
      <x:c r="D159" s="4" t="str">
        <x:v>Compra direta</x:v>
      </x:c>
      <x:c r="E159" s="6" t="str">
        <x:v>contratação de empresa especializada para prestação de locação de estrutura para boxtruss, e confecção de painel e placas com plotagem, para a "Semana do Servidor 2024"</x:v>
      </x:c>
      <x:c r="F159" s="4" t="str">
        <x:v>Concluído</x:v>
      </x:c>
      <x:c r="G159" s="7" t="n">
        <x:v>16100</x:v>
      </x:c>
      <x:c r="H159" s="7" t="n">
        <x:v>16100</x:v>
      </x:c>
      <x:c r="I159" s="4" t="str">
        <x:v>SNC ESTRUTURAS E EVENTOS LTDA - EPP</x:v>
      </x:c>
      <x:c r="J159" s="4"/>
    </x:row>
    <x:row r="160" ht="39.599998474121094" hidden="0" customHeight="1">
      <x:c r="A160" s="4" t="n">
        <x:v>163</x:v>
      </x:c>
      <x:c r="B160" s="4"/>
      <x:c r="C160" s="8" t="n">
        <x:v>2024</x:v>
      </x:c>
      <x:c r="D160" s="4" t="str">
        <x:v>Compra direta</x:v>
      </x:c>
      <x:c r="E160" s="6" t="str">
        <x:v>Prestação  de serviços de conserto de 03 (TRÊS) aparelhos de micro-ondas sendo dois aparelhos instalados na copa do 5º andar do prédio anexo e um aparelho instalado na copa do térreo no prédio anexo.</x:v>
      </x:c>
      <x:c r="F160" s="4" t="str">
        <x:v>Concluído</x:v>
      </x:c>
      <x:c r="G160" s="7" t="n">
        <x:v>690</x:v>
      </x:c>
      <x:c r="H160" s="7" t="n">
        <x:v>685</x:v>
      </x:c>
      <x:c r="I160" s="4" t="str">
        <x:v>ELETRONICA LUXEMBURGO LTDA -ME</x:v>
      </x:c>
      <x:c r="J160" s="4"/>
    </x:row>
    <x:row r="161" ht="39.599998474121094" hidden="0" customHeight="1">
      <x:c r="A161" s="4" t="n">
        <x:v>159</x:v>
      </x:c>
      <x:c r="B161" s="4"/>
      <x:c r="C161" s="8" t="n">
        <x:v>2024</x:v>
      </x:c>
      <x:c r="D161" s="4" t="str">
        <x:v>Compra direta</x:v>
      </x:c>
      <x:c r="E161" s="6" t="str">
        <x:v>Aquisição de 10 (dez) unidades de cones de sinalização cor laranja com 75 (setenta e cinco) centímetros de altura, padrão sinalização e 12 (doze) cavaletes plásticos dobráveis para sinalização c</x:v>
      </x:c>
      <x:c r="F161" s="4" t="str">
        <x:v>Concluído</x:v>
      </x:c>
      <x:c r="G161" s="7" t="n">
        <x:v>3540</x:v>
      </x:c>
      <x:c r="H161" s="7" t="n">
        <x:v>3539.8</x:v>
      </x:c>
      <x:c r="I161" s="4" t="str">
        <x:v>GABRIEL OZELO BRAGA</x:v>
      </x:c>
      <x:c r="J161" s="4"/>
    </x:row>
    <x:row r="162" ht="26.399999618530273" hidden="0" customHeight="1">
      <x:c r="A162" s="4" t="n">
        <x:v>157</x:v>
      </x:c>
      <x:c r="B162" s="4"/>
      <x:c r="C162" s="8" t="n">
        <x:v>2024</x:v>
      </x:c>
      <x:c r="D162" s="4" t="str">
        <x:v>Compra direta</x:v>
      </x:c>
      <x:c r="E162" s="6" t="str">
        <x:v>desmontagem, remanejamento e montagem de conjunto de arquivo deslizante, composto de 9 (nove) faces</x:v>
      </x:c>
      <x:c r="F162" s="4" t="str">
        <x:v>Concluído</x:v>
      </x:c>
      <x:c r="G162" s="7" t="n">
        <x:v>2980</x:v>
      </x:c>
      <x:c r="H162" s="7" t="n">
        <x:v>2980</x:v>
      </x:c>
      <x:c r="I162" s="4" t="str">
        <x:v>ORGANIZAR SERVICOS DE ARQUIVOS EIRELI</x:v>
      </x:c>
      <x:c r="J162" s="4"/>
    </x:row>
    <x:row r="163" ht="26.399999618530273" hidden="0" customHeight="1">
      <x:c r="A163" s="4" t="n">
        <x:v>152</x:v>
      </x:c>
      <x:c r="B163" s="4"/>
      <x:c r="C163" s="8" t="n">
        <x:v>2024</x:v>
      </x:c>
      <x:c r="D163" s="4" t="str">
        <x:v>Compra direta</x:v>
      </x:c>
      <x:c r="E163" s="6" t="str">
        <x:v>Manutenção/reparo em 03 (três) rádios comunicadores utilizados diariamente pela equipe de vigilantes do TCE,.</x:v>
      </x:c>
      <x:c r="F163" s="4" t="str">
        <x:v>Concluído</x:v>
      </x:c>
      <x:c r="G163" s="7" t="n">
        <x:v>575</x:v>
      </x:c>
      <x:c r="H163" s="7" t="n">
        <x:v>575</x:v>
      </x:c>
      <x:c r="I163" s="4" t="str">
        <x:v>A &amp; E TECNICAL LTDA</x:v>
      </x:c>
      <x:c r="J163" s="4"/>
    </x:row>
    <x:row r="164" ht="15" hidden="0" customHeight="1">
      <x:c r="A164" s="4" t="n">
        <x:v>150</x:v>
      </x:c>
      <x:c r="B164" s="4"/>
      <x:c r="C164" s="8" t="n">
        <x:v>2024</x:v>
      </x:c>
      <x:c r="D164" s="4" t="str">
        <x:v>Compra direta</x:v>
      </x:c>
      <x:c r="E164" s="6" t="str">
        <x:v>Serviço de traslado</x:v>
      </x:c>
      <x:c r="F164" s="4" t="str">
        <x:v>Concluído</x:v>
      </x:c>
      <x:c r="G164" s="7" t="n">
        <x:v>3700</x:v>
      </x:c>
      <x:c r="H164" s="7" t="n">
        <x:v>3700</x:v>
      </x:c>
      <x:c r="I164" s="4" t="str">
        <x:v>VIACAO TELES LTDA</x:v>
      </x:c>
      <x:c r="J164" s="4"/>
    </x:row>
    <x:row r="165" ht="26.399999618530273" hidden="0" customHeight="1">
      <x:c r="A165" s="4" t="n">
        <x:v>149</x:v>
      </x:c>
      <x:c r="B165" s="4"/>
      <x:c r="C165" s="8" t="n">
        <x:v>2024</x:v>
      </x:c>
      <x:c r="D165" s="4" t="str">
        <x:v>Compra direta</x:v>
      </x:c>
      <x:c r="E165" s="6" t="str">
        <x:v>Recadastramento de processo de compras, conforme SEI24.0.000004434-9, para contratação de serviços de caligrafo.</x:v>
      </x:c>
      <x:c r="F165" s="4" t="str">
        <x:v>Concluído</x:v>
      </x:c>
      <x:c r="G165" s="7" t="n">
        <x:v>600</x:v>
      </x:c>
      <x:c r="H165" s="7" t="n">
        <x:v>600</x:v>
      </x:c>
      <x:c r="I165" s="4" t="str">
        <x:v>CLAUDIA MARIA FELICISSIMO LEITE</x:v>
      </x:c>
      <x:c r="J165" s="4"/>
    </x:row>
    <x:row r="166" ht="26.399999618530273" hidden="0" customHeight="1">
      <x:c r="A166" s="4" t="n">
        <x:v>148</x:v>
      </x:c>
      <x:c r="B166" s="4"/>
      <x:c r="C166" s="8" t="n">
        <x:v>2024</x:v>
      </x:c>
      <x:c r="D166" s="4" t="str">
        <x:v>Compra direta</x:v>
      </x:c>
      <x:c r="E166" s="6" t="str">
        <x:v>Fornecimento de alimentação para os participantes do ¿6º Encontro Técnico sobre Fiscalização de Concessões e PPP¿s pelos Tribunais de Contas¿.</x:v>
      </x:c>
      <x:c r="F166" s="4" t="str">
        <x:v>Concluído</x:v>
      </x:c>
      <x:c r="G166" s="7" t="n">
        <x:v>12900</x:v>
      </x:c>
      <x:c r="H166" s="7" t="n">
        <x:v>12900</x:v>
      </x:c>
      <x:c r="I166" s="4" t="str">
        <x:v>MARIA DAS GRACAS GONCALVES CANTINA</x:v>
      </x:c>
      <x:c r="J166" s="4"/>
    </x:row>
    <x:row r="167" ht="15" hidden="0" customHeight="1">
      <x:c r="A167" s="4" t="n">
        <x:v>142</x:v>
      </x:c>
      <x:c r="B167" s="4"/>
      <x:c r="C167" s="8" t="n">
        <x:v>2024</x:v>
      </x:c>
      <x:c r="D167" s="4" t="str">
        <x:v>Compra direta</x:v>
      </x:c>
      <x:c r="E167" s="6" t="str">
        <x:v>Aquisição de medalhas e troféus</x:v>
      </x:c>
      <x:c r="F167" s="4" t="str">
        <x:v>Concluído</x:v>
      </x:c>
      <x:c r="G167" s="7" t="n">
        <x:v>900</x:v>
      </x:c>
      <x:c r="H167" s="7" t="n">
        <x:v>900</x:v>
      </x:c>
      <x:c r="I167" s="4" t="str">
        <x:v>MF COMERCIO DE BRINDES E ACESSORIOS LTDA</x:v>
      </x:c>
      <x:c r="J167" s="4"/>
    </x:row>
    <x:row r="168" ht="15" hidden="0" customHeight="1">
      <x:c r="A168" s="4" t="n">
        <x:v>142</x:v>
      </x:c>
      <x:c r="B168" s="4"/>
      <x:c r="C168" s="8" t="n">
        <x:v>2024</x:v>
      </x:c>
      <x:c r="D168" s="4" t="str">
        <x:v>Compra direta</x:v>
      </x:c>
      <x:c r="E168" s="6" t="str">
        <x:v>Aquisição de medalhas e troféus</x:v>
      </x:c>
      <x:c r="F168" s="4" t="str">
        <x:v>Concluído</x:v>
      </x:c>
      <x:c r="G168" s="7" t="n">
        <x:v>412</x:v>
      </x:c>
      <x:c r="H168" s="7" t="n">
        <x:v>412</x:v>
      </x:c>
      <x:c r="I168" s="4" t="str">
        <x:v>52.810.210 MARISE SILVA VIEIRA</x:v>
      </x:c>
      <x:c r="J168" s="4"/>
    </x:row>
    <x:row r="169" ht="15" hidden="0" customHeight="1">
      <x:c r="A169" s="4" t="n">
        <x:v>140</x:v>
      </x:c>
      <x:c r="B169" s="4"/>
      <x:c r="C169" s="8" t="n">
        <x:v>2024</x:v>
      </x:c>
      <x:c r="D169" s="4" t="str">
        <x:v>Compra direta</x:v>
      </x:c>
      <x:c r="E169" s="6" t="str">
        <x:v>Realização de teste hidrostático de 161 (cento e sessenta e uma) mangueiras de incêndio</x:v>
      </x:c>
      <x:c r="F169" s="4" t="str">
        <x:v>Concluído</x:v>
      </x:c>
      <x:c r="G169" s="7" t="n">
        <x:v>1288</x:v>
      </x:c>
      <x:c r="H169" s="7" t="n">
        <x:v>1288</x:v>
      </x:c>
      <x:c r="I169" s="4" t="str">
        <x:v>SEGURANCA RECARGAS DE EXTINTORES LTDA</x:v>
      </x:c>
      <x:c r="J169" s="4"/>
    </x:row>
    <x:row r="170" ht="26.399999618530273" hidden="0" customHeight="1">
      <x:c r="A170" s="4" t="n">
        <x:v>137</x:v>
      </x:c>
      <x:c r="B170" s="4"/>
      <x:c r="C170" s="8" t="n">
        <x:v>2024</x:v>
      </x:c>
      <x:c r="D170" s="4" t="str">
        <x:v>Compra direta</x:v>
      </x:c>
      <x:c r="E170" s="6" t="str">
        <x:v>Manutenção e reparo em 03 câmeras fotográficas digitais da Coordenadoria de Jornalismo e Redação</x:v>
      </x:c>
      <x:c r="F170" s="4" t="str">
        <x:v>Concluído</x:v>
      </x:c>
      <x:c r="G170" s="7" t="n">
        <x:v>1285</x:v>
      </x:c>
      <x:c r="H170" s="7" t="n">
        <x:v>1085</x:v>
      </x:c>
      <x:c r="I170" s="4" t="str">
        <x:v>DIGITECH SOLUCOES TECNOLOGICAS LTDA</x:v>
      </x:c>
      <x:c r="J170" s="4"/>
    </x:row>
    <x:row r="171" ht="39.599998474121094" hidden="0" customHeight="1">
      <x:c r="A171" s="4" t="n">
        <x:v>130</x:v>
      </x:c>
      <x:c r="B171" s="4"/>
      <x:c r="C171" s="8" t="n">
        <x:v>2024</x:v>
      </x:c>
      <x:c r="D171" s="4" t="str">
        <x:v>Compra direta</x:v>
      </x:c>
      <x:c r="E171" s="6" t="str">
        <x:v>Contratação de empresa especializada em montagem e suporte com equipamentos tecnológicos de projeção para o evento "Dia da Inovação Ada Lovelace" que ocorrerá no dia 10 de outubro de 2024</x:v>
      </x:c>
      <x:c r="F171" s="4" t="str">
        <x:v>Concluído</x:v>
      </x:c>
      <x:c r="G171" s="7" t="n">
        <x:v>24000</x:v>
      </x:c>
      <x:c r="H171" s="7" t="n">
        <x:v>24000</x:v>
      </x:c>
      <x:c r="I171" s="4" t="str">
        <x:v>ON PROJECOES LTDA</x:v>
      </x:c>
      <x:c r="J171" s="4"/>
    </x:row>
    <x:row r="172" ht="39.599998474121094" hidden="0" customHeight="1">
      <x:c r="A172" s="4" t="n">
        <x:v>125</x:v>
      </x:c>
      <x:c r="B172" s="4"/>
      <x:c r="C172" s="8" t="n">
        <x:v>2024</x:v>
      </x:c>
      <x:c r="D172" s="4" t="str">
        <x:v>Compra direta</x:v>
      </x:c>
      <x:c r="E172" s="6" t="str">
        <x:v>Contratação de empresa especializada para criação de conteúdo visual que será projetado no evento "Dia da Inovação Ada Lovelace" que ocorrerá no dia 10 de outubro no auditório do TCEMG.</x:v>
      </x:c>
      <x:c r="F172" s="4" t="str">
        <x:v>Concluído</x:v>
      </x:c>
      <x:c r="G172" s="7" t="n">
        <x:v>35000</x:v>
      </x:c>
      <x:c r="H172" s="7" t="n">
        <x:v>35000</x:v>
      </x:c>
      <x:c r="I172" s="4" t="str">
        <x:v>FIX BROS. PRODUCAO E ENTRETENIMENTO LTDA</x:v>
      </x:c>
      <x:c r="J172" s="4"/>
    </x:row>
    <x:row r="173" ht="15" hidden="0" customHeight="1">
      <x:c r="A173" s="4" t="n">
        <x:v>107</x:v>
      </x:c>
      <x:c r="B173" s="4"/>
      <x:c r="C173" s="8" t="n">
        <x:v>2024</x:v>
      </x:c>
      <x:c r="D173" s="4" t="str">
        <x:v>Compra direta</x:v>
      </x:c>
      <x:c r="E173" s="6" t="str">
        <x:v>Aquisição de medalhas e placa</x:v>
      </x:c>
      <x:c r="F173" s="4" t="str">
        <x:v>Concluído</x:v>
      </x:c>
      <x:c r="G173" s="7" t="n">
        <x:v>22220</x:v>
      </x:c>
      <x:c r="H173" s="7" t="n">
        <x:v>13870</x:v>
      </x:c>
      <x:c r="I173" s="4" t="str">
        <x:v>MERITO BRINDES E PREMIACOES - LTDA</x:v>
      </x:c>
      <x:c r="J173" s="4"/>
    </x:row>
    <x:row r="174" ht="26.399999618530273" hidden="0" customHeight="1">
      <x:c r="A174" s="4" t="n">
        <x:v>105</x:v>
      </x:c>
      <x:c r="B174" s="4"/>
      <x:c r="C174" s="8" t="n">
        <x:v>2024</x:v>
      </x:c>
      <x:c r="D174" s="4" t="str">
        <x:v>Compra direta</x:v>
      </x:c>
      <x:c r="E174" s="6" t="str">
        <x:v>Contratação do serviço de um Calígrafo para subscritar o livro de assinaturas com aproximadamente 30(trinta) linhas.</x:v>
      </x:c>
      <x:c r="F174" s="4" t="str">
        <x:v>Concluído</x:v>
      </x:c>
      <x:c r="G174" s="7" t="n">
        <x:v>600</x:v>
      </x:c>
      <x:c r="H174" s="7" t="n">
        <x:v>600</x:v>
      </x:c>
      <x:c r="I174" s="4" t="str">
        <x:v>CLAUDIA MARIA FELICISSIMO LEITE 60742178668 - ME</x:v>
      </x:c>
      <x:c r="J174" s="4"/>
    </x:row>
    <x:row r="175" ht="15" hidden="0" customHeight="1">
      <x:c r="A175" s="4" t="n">
        <x:v>103</x:v>
      </x:c>
      <x:c r="B175" s="4"/>
      <x:c r="C175" s="8" t="n">
        <x:v>2024</x:v>
      </x:c>
      <x:c r="D175" s="4" t="str">
        <x:v>Compra direta</x:v>
      </x:c>
      <x:c r="E175" s="6" t="str">
        <x:v>Copo de vidro</x:v>
      </x:c>
      <x:c r="F175" s="4" t="str">
        <x:v>Concluído</x:v>
      </x:c>
      <x:c r="G175" s="7" t="n">
        <x:v>239.76</x:v>
      </x:c>
      <x:c r="H175" s="7" t="n">
        <x:v>129.9</x:v>
      </x:c>
      <x:c r="I175" s="4" t="str">
        <x:v>BH TACAS COMERCIO DE TACAS E UTENSILIOS DO LAR LTDA - EPP</x:v>
      </x:c>
      <x:c r="J175" s="4"/>
    </x:row>
    <x:row r="176" ht="15" hidden="0" customHeight="1">
      <x:c r="A176" s="4" t="n">
        <x:v>102</x:v>
      </x:c>
      <x:c r="B176" s="4" t="str">
        <x:v>9437297</x:v>
      </x:c>
      <x:c r="C176" s="8" t="n">
        <x:v>2024</x:v>
      </x:c>
      <x:c r="D176" s="4" t="str">
        <x:v>Compra direta</x:v>
      </x:c>
      <x:c r="E176" s="6" t="str">
        <x:v>Contratação de Curso de Atualização em Língua Portuguesa</x:v>
      </x:c>
      <x:c r="F176" s="4" t="str">
        <x:v>Concluído</x:v>
      </x:c>
      <x:c r="G176" s="7" t="n">
        <x:v>9300</x:v>
      </x:c>
      <x:c r="H176" s="7" t="n">
        <x:v>3560</x:v>
      </x:c>
      <x:c r="I176" s="4" t="str">
        <x:v>MARIA ISABEL GOMES DE MATOS</x:v>
      </x:c>
      <x:c r="J176" s="4"/>
    </x:row>
    <x:row r="177" ht="26.399999618530273" hidden="0" customHeight="1">
      <x:c r="A177" s="4" t="n">
        <x:v>101</x:v>
      </x:c>
      <x:c r="B177" s="4"/>
      <x:c r="C177" s="8" t="n">
        <x:v>2024</x:v>
      </x:c>
      <x:c r="D177" s="4" t="str">
        <x:v>Compra direta</x:v>
      </x:c>
      <x:c r="E177" s="6" t="str">
        <x:v>Aquisição de 05 (cinco) antenas, 10 (dez) baterias originais e 10 (dez) fones de ouvido para Rádio Motorola.</x:v>
      </x:c>
      <x:c r="F177" s="4" t="str">
        <x:v>Concluído</x:v>
      </x:c>
      <x:c r="G177" s="7" t="n">
        <x:v>8260</x:v>
      </x:c>
      <x:c r="H177" s="7" t="n">
        <x:v>6310</x:v>
      </x:c>
      <x:c r="I177" s="4" t="str">
        <x:v>CELWAY SERVICE LTDA</x:v>
      </x:c>
      <x:c r="J177" s="4"/>
    </x:row>
    <x:row r="178" ht="39.599998474121094" hidden="0" customHeight="1">
      <x:c r="A178" s="4" t="n">
        <x:v>83</x:v>
      </x:c>
      <x:c r="B178" s="4"/>
      <x:c r="C178" s="8" t="n">
        <x:v>2024</x:v>
      </x:c>
      <x:c r="D178" s="4" t="str">
        <x:v>Compra direta</x:v>
      </x:c>
      <x:c r="E178" s="6" t="str">
        <x:v>Prestação de serviços de manutenção de 03 (três) nobreaks, com fornecimento de todos os materiais, ferramentas, testes e mão de obra especializada, conforme Termo de Referência anexo.</x:v>
      </x:c>
      <x:c r="F178" s="4" t="str">
        <x:v>Concluído</x:v>
      </x:c>
      <x:c r="G178" s="7" t="n">
        <x:v>5738</x:v>
      </x:c>
      <x:c r="H178" s="7" t="n">
        <x:v>5114</x:v>
      </x:c>
      <x:c r="I178" s="4" t="str">
        <x:v>SOTEC SERVICES LTDA</x:v>
      </x:c>
      <x:c r="J178" s="4"/>
    </x:row>
    <x:row r="179" ht="15" hidden="0" customHeight="1">
      <x:c r="A179" s="4" t="n">
        <x:v>78</x:v>
      </x:c>
      <x:c r="B179" s="4"/>
      <x:c r="C179" s="8" t="n">
        <x:v>2024</x:v>
      </x:c>
      <x:c r="D179" s="4" t="str">
        <x:v>Compra direta</x:v>
      </x:c>
      <x:c r="E179" s="6" t="str">
        <x:v>Serviço de manutenção/reparo em 03 rádios de comunicação HT</x:v>
      </x:c>
      <x:c r="F179" s="4" t="str">
        <x:v>Concluído</x:v>
      </x:c>
      <x:c r="G179" s="7" t="n">
        <x:v>726</x:v>
      </x:c>
      <x:c r="H179" s="7" t="n">
        <x:v>605</x:v>
      </x:c>
      <x:c r="I179" s="4" t="str">
        <x:v>A &amp; E TECNICAL LTDA</x:v>
      </x:c>
      <x:c r="J179" s="4"/>
    </x:row>
    <x:row r="180" ht="15" hidden="0" customHeight="1">
      <x:c r="A180" s="4" t="n">
        <x:v>75</x:v>
      </x:c>
      <x:c r="B180" s="4"/>
      <x:c r="C180" s="8" t="n">
        <x:v>2024</x:v>
      </x:c>
      <x:c r="D180" s="4" t="str">
        <x:v>Compra direta</x:v>
      </x:c>
      <x:c r="E180" s="6" t="str">
        <x:v>Aquisição de bandeiras do Brasil e do Estado de Minas Gerais</x:v>
      </x:c>
      <x:c r="F180" s="4" t="str">
        <x:v>Concluído</x:v>
      </x:c>
      <x:c r="G180" s="7" t="n">
        <x:v>450</x:v>
      </x:c>
      <x:c r="H180" s="7" t="n">
        <x:v>339.8</x:v>
      </x:c>
      <x:c r="I180" s="4" t="str">
        <x:v>BANDERTTINI COMERCIO E CONFECCOES DE BANDEIRAS LTDA - ME</x:v>
      </x:c>
      <x:c r="J180" s="4"/>
    </x:row>
    <x:row r="181" ht="15" hidden="0" customHeight="1">
      <x:c r="A181" s="4" t="n">
        <x:v>73</x:v>
      </x:c>
      <x:c r="B181" s="4"/>
      <x:c r="C181" s="8" t="n">
        <x:v>2024</x:v>
      </x:c>
      <x:c r="D181" s="4" t="str">
        <x:v>Compra direta</x:v>
      </x:c>
      <x:c r="E181" s="6" t="str">
        <x:v>bandeira distintiva do TCEMG</x:v>
      </x:c>
      <x:c r="F181" s="4" t="str">
        <x:v>Concluído</x:v>
      </x:c>
      <x:c r="G181" s="7" t="n">
        <x:v>323.8</x:v>
      </x:c>
      <x:c r="H181" s="7" t="n">
        <x:v>270</x:v>
      </x:c>
      <x:c r="I181" s="4" t="str">
        <x:v>AUTENTICA - BANDEIRAS E CONFECCOES LTDA -ME</x:v>
      </x:c>
      <x:c r="J181" s="4"/>
    </x:row>
    <x:row r="182" ht="15" hidden="0" customHeight="1">
      <x:c r="A182" s="4" t="n">
        <x:v>71</x:v>
      </x:c>
      <x:c r="B182" s="4"/>
      <x:c r="C182" s="8" t="n">
        <x:v>2024</x:v>
      </x:c>
      <x:c r="D182" s="4" t="str">
        <x:v>Compra direta</x:v>
      </x:c>
      <x:c r="E182" s="6" t="str">
        <x:v>Porta munição e bandeja</x:v>
      </x:c>
      <x:c r="F182" s="4" t="str">
        <x:v>Concluído</x:v>
      </x:c>
      <x:c r="G182" s="7" t="n">
        <x:v>539</x:v>
      </x:c>
      <x:c r="H182" s="7" t="n">
        <x:v>398</x:v>
      </x:c>
      <x:c r="I182" s="4" t="str">
        <x:v>DANUBIA NEVIS MATOS BH ARTIGOS DO VESTUARIO MILITAR LTDA</x:v>
      </x:c>
      <x:c r="J182" s="4"/>
    </x:row>
    <x:row r="183" ht="15" hidden="0" customHeight="1">
      <x:c r="A183" s="4" t="n">
        <x:v>71</x:v>
      </x:c>
      <x:c r="B183" s="4"/>
      <x:c r="C183" s="8" t="n">
        <x:v>2024</x:v>
      </x:c>
      <x:c r="D183" s="4" t="str">
        <x:v>Compra direta</x:v>
      </x:c>
      <x:c r="E183" s="6" t="str">
        <x:v>Porta munição e bandeja</x:v>
      </x:c>
      <x:c r="F183" s="4" t="str">
        <x:v>Concluído</x:v>
      </x:c>
      <x:c r="G183" s="7" t="n">
        <x:v>84</x:v>
      </x:c>
      <x:c r="H183" s="7" t="n">
        <x:v>53.7</x:v>
      </x:c>
      <x:c r="I183" s="4" t="str">
        <x:v>APOLO SHOP LTDA</x:v>
      </x:c>
      <x:c r="J183" s="4"/>
    </x:row>
    <x:row r="184" ht="15" hidden="0" customHeight="1">
      <x:c r="A184" s="4" t="n">
        <x:v>70</x:v>
      </x:c>
      <x:c r="B184" s="4" t="str">
        <x:v>9433868</x:v>
      </x:c>
      <x:c r="C184" s="8" t="n">
        <x:v>2024</x:v>
      </x:c>
      <x:c r="D184" s="4" t="str">
        <x:v>Compra direta</x:v>
      </x:c>
      <x:c r="E184" s="6" t="str">
        <x:v>Prestação de serviços de confecção de 20 (vinte) placas condecorativas.</x:v>
      </x:c>
      <x:c r="F184" s="4" t="str">
        <x:v>Concluído</x:v>
      </x:c>
      <x:c r="G184" s="7" t="n">
        <x:v>3920</x:v>
      </x:c>
      <x:c r="H184" s="7" t="n">
        <x:v>2660</x:v>
      </x:c>
      <x:c r="I184" s="4" t="str">
        <x:v>MARCO PLACAS INDUSTRIA E COMERCIO LTDA -EPP</x:v>
      </x:c>
      <x:c r="J184" s="4"/>
    </x:row>
    <x:row r="185" ht="39.599998474121094" hidden="0" customHeight="1">
      <x:c r="A185" s="4" t="n">
        <x:v>65</x:v>
      </x:c>
      <x:c r="B185" s="4"/>
      <x:c r="C185" s="8" t="n">
        <x:v>2024</x:v>
      </x:c>
      <x:c r="D185" s="4" t="str">
        <x:v>Compra direta</x:v>
      </x:c>
      <x:c r="E185" s="6" t="str">
        <x:v>Manutenção/conserto de um televisor da marca Philco (modelo SMART TV LED PTV40g60snbl 40 polegadas)- Patrimônio 8276517-0.
SEI 24.0.000003532-3</x:v>
      </x:c>
      <x:c r="F185" s="4" t="str">
        <x:v>Concluído</x:v>
      </x:c>
      <x:c r="G185" s="7" t="n">
        <x:v>495</x:v>
      </x:c>
      <x:c r="H185" s="7" t="n">
        <x:v>490</x:v>
      </x:c>
      <x:c r="I185" s="4" t="str">
        <x:v>SMART TELE ELETRONICA COMERCIO E SERVICOS LTDA -EPP</x:v>
      </x:c>
      <x:c r="J185" s="4"/>
    </x:row>
    <x:row r="186" ht="26.399999618530273" hidden="0" customHeight="1">
      <x:c r="A186" s="4" t="n">
        <x:v>60</x:v>
      </x:c>
      <x:c r="B186" s="4" t="str">
        <x:v>9433673</x:v>
      </x:c>
      <x:c r="C186" s="8" t="n">
        <x:v>2024</x:v>
      </x:c>
      <x:c r="D186" s="4" t="str">
        <x:v>Compra direta</x:v>
      </x:c>
      <x:c r="E186" s="6" t="str">
        <x:v>Contratação de prestação de serviços gráficos de impressão e acabamento da Revista do TCEMG, edição especial.</x:v>
      </x:c>
      <x:c r="F186" s="4" t="str">
        <x:v>Concluído</x:v>
      </x:c>
      <x:c r="G186" s="7" t="n">
        <x:v>52250</x:v>
      </x:c>
      <x:c r="H186" s="7" t="n">
        <x:v>48800</x:v>
      </x:c>
      <x:c r="I186" s="4" t="str">
        <x:v>RONA EDITORA LTDA</x:v>
      </x:c>
      <x:c r="J186" s="4"/>
    </x:row>
    <x:row r="187" ht="39.599998474121094" hidden="0" customHeight="1">
      <x:c r="A187" s="4" t="n">
        <x:v>58</x:v>
      </x:c>
      <x:c r="B187" s="4"/>
      <x:c r="C187" s="8" t="n">
        <x:v>2024</x:v>
      </x:c>
      <x:c r="D187" s="4" t="str">
        <x:v>Compra direta</x:v>
      </x:c>
      <x:c r="E187" s="6" t="str">
        <x:v>Prestação de serviços de traslado do Aeroporto de Uberlândia à cidade de Coromandel e vice-versa. 
SEI 24.0.000004141-2</x:v>
      </x:c>
      <x:c r="F187" s="4" t="str">
        <x:v>Concluído</x:v>
      </x:c>
      <x:c r="G187" s="7" t="n">
        <x:v>2624</x:v>
      </x:c>
      <x:c r="H187" s="7" t="n">
        <x:v>2300</x:v>
      </x:c>
      <x:c r="I187" s="4" t="str">
        <x:v>JR TRANSPORTES EXECUTIVOS LTDA</x:v>
      </x:c>
      <x:c r="J187" s="4"/>
    </x:row>
    <x:row r="188" ht="15" hidden="0" customHeight="1">
      <x:c r="A188" s="4" t="n">
        <x:v>57</x:v>
      </x:c>
      <x:c r="B188" s="4"/>
      <x:c r="C188" s="8" t="n">
        <x:v>2024</x:v>
      </x:c>
      <x:c r="D188" s="4" t="str">
        <x:v>Compra direta</x:v>
      </x:c>
      <x:c r="E188" s="6" t="str">
        <x:v>Aquisição e medicamentos</x:v>
      </x:c>
      <x:c r="F188" s="4" t="str">
        <x:v>Concluído</x:v>
      </x:c>
      <x:c r="G188" s="7" t="n">
        <x:v>1226.34</x:v>
      </x:c>
      <x:c r="H188" s="7" t="n">
        <x:v>913.6</x:v>
      </x:c>
      <x:c r="I188" s="4" t="str">
        <x:v>RIBEIRO E NASCIMENTO ARTIGOS MEDICOS E ORTOPEDICOS LTDA - ME</x:v>
      </x:c>
      <x:c r="J188" s="4"/>
    </x:row>
    <x:row r="189" ht="15" hidden="0" customHeight="1">
      <x:c r="A189" s="4" t="n">
        <x:v>57</x:v>
      </x:c>
      <x:c r="B189" s="4"/>
      <x:c r="C189" s="8" t="n">
        <x:v>2024</x:v>
      </x:c>
      <x:c r="D189" s="4" t="str">
        <x:v>Compra direta</x:v>
      </x:c>
      <x:c r="E189" s="6" t="str">
        <x:v>Aquisição e medicamentos</x:v>
      </x:c>
      <x:c r="F189" s="4" t="str">
        <x:v>Concluído</x:v>
      </x:c>
      <x:c r="G189" s="7" t="n">
        <x:v>1857.5</x:v>
      </x:c>
      <x:c r="H189" s="7" t="n">
        <x:v>1500</x:v>
      </x:c>
      <x:c r="I189" s="4" t="str">
        <x:v>MENDES &amp; MANSUR ASSESSORIA ADUANEIRA E DE COMERCIO EXTERIOR LTDA - EPP</x:v>
      </x:c>
      <x:c r="J189" s="4"/>
    </x:row>
    <x:row r="190" ht="15" hidden="0" customHeight="1">
      <x:c r="A190" s="4" t="n">
        <x:v>57</x:v>
      </x:c>
      <x:c r="B190" s="4"/>
      <x:c r="C190" s="8" t="n">
        <x:v>2024</x:v>
      </x:c>
      <x:c r="D190" s="4" t="str">
        <x:v>Compra direta</x:v>
      </x:c>
      <x:c r="E190" s="6" t="str">
        <x:v>Aquisição e medicamentos</x:v>
      </x:c>
      <x:c r="F190" s="4" t="str">
        <x:v>Concluído</x:v>
      </x:c>
      <x:c r="G190" s="7" t="n">
        <x:v>3183.2</x:v>
      </x:c>
      <x:c r="H190" s="7" t="n">
        <x:v>2866.66</x:v>
      </x:c>
      <x:c r="I190" s="4" t="str">
        <x:v>FARMACIA JK LTDA - ME</x:v>
      </x:c>
      <x:c r="J190" s="4"/>
    </x:row>
    <x:row r="191" ht="15" hidden="0" customHeight="1">
      <x:c r="A191" s="4" t="n">
        <x:v>57</x:v>
      </x:c>
      <x:c r="B191" s="4"/>
      <x:c r="C191" s="8" t="n">
        <x:v>2024</x:v>
      </x:c>
      <x:c r="D191" s="4" t="str">
        <x:v>Compra direta</x:v>
      </x:c>
      <x:c r="E191" s="6" t="str">
        <x:v>Aquisição e medicamentos</x:v>
      </x:c>
      <x:c r="F191" s="4" t="str">
        <x:v>Concluído</x:v>
      </x:c>
      <x:c r="G191" s="7" t="n">
        <x:v>2562.64</x:v>
      </x:c>
      <x:c r="H191" s="7" t="n">
        <x:v>2178.25</x:v>
      </x:c>
      <x:c r="I191" s="4" t="str">
        <x:v>DROGARIA GAVEA LTDA -EPP</x:v>
      </x:c>
      <x:c r="J191" s="4"/>
    </x:row>
    <x:row r="192" ht="26.399999618530273" hidden="0" customHeight="1">
      <x:c r="A192" s="4" t="n">
        <x:v>54</x:v>
      </x:c>
      <x:c r="B192" s="4"/>
      <x:c r="C192" s="8" t="n">
        <x:v>2024</x:v>
      </x:c>
      <x:c r="D192" s="4" t="str">
        <x:v>Compra direta</x:v>
      </x:c>
      <x:c r="E192" s="6" t="str">
        <x:v>Prestação de serviços de reparo/conserto de 1 (um) máquina de café marca Monarcha, patrimônio nº 8260577-7.</x:v>
      </x:c>
      <x:c r="F192" s="4" t="str">
        <x:v>Concluído</x:v>
      </x:c>
      <x:c r="G192" s="7" t="n">
        <x:v>850</x:v>
      </x:c>
      <x:c r="H192" s="7" t="n">
        <x:v>688</x:v>
      </x:c>
      <x:c r="I192" s="4" t="str">
        <x:v>OLIMAQ SERVICOS E COMERCIO LTDA -ME</x:v>
      </x:c>
      <x:c r="J192" s="4"/>
    </x:row>
    <x:row r="193" ht="26.399999618530273" hidden="0" customHeight="1">
      <x:c r="A193" s="4" t="n">
        <x:v>49</x:v>
      </x:c>
      <x:c r="B193" s="4" t="str">
        <x:v>9433796</x:v>
      </x:c>
      <x:c r="C193" s="8" t="n">
        <x:v>2024</x:v>
      </x:c>
      <x:c r="D193" s="4" t="str">
        <x:v>Compra direta</x:v>
      </x:c>
      <x:c r="E193" s="6" t="str">
        <x:v>Adaptação de uma sala existente no térreo do Edifício Sede do Tribunal de Contas em sala de desarmamento para guarda e retirada de armas para visitantes que possuam porte de arma.</x:v>
      </x:c>
      <x:c r="F193" s="4" t="str">
        <x:v>Concluído</x:v>
      </x:c>
      <x:c r="G193" s="7" t="n">
        <x:v>59897.49</x:v>
      </x:c>
      <x:c r="H193" s="7" t="n">
        <x:v>53000</x:v>
      </x:c>
      <x:c r="I193" s="4" t="str">
        <x:v>F J A COSTA CONSTRUCOES -ME</x:v>
      </x:c>
      <x:c r="J193" s="4"/>
    </x:row>
    <x:row r="194" ht="15" hidden="0" customHeight="1">
      <x:c r="A194" s="4" t="n">
        <x:v>45</x:v>
      </x:c>
      <x:c r="B194" s="4"/>
      <x:c r="C194" s="8" t="n">
        <x:v>2024</x:v>
      </x:c>
      <x:c r="D194" s="4" t="str">
        <x:v>Compra direta</x:v>
      </x:c>
      <x:c r="E194" s="6" t="str">
        <x:v>Serviço de traslado de servidores</x:v>
      </x:c>
      <x:c r="F194" s="4" t="str">
        <x:v>Concluído</x:v>
      </x:c>
      <x:c r="G194" s="7" t="n">
        <x:v>4040</x:v>
      </x:c>
      <x:c r="H194" s="7" t="n">
        <x:v>3300</x:v>
      </x:c>
      <x:c r="I194" s="4" t="str">
        <x:v>G C CUNHA</x:v>
      </x:c>
      <x:c r="J194" s="4"/>
    </x:row>
    <x:row r="195" ht="56.400001525878906" hidden="0" customHeight="1">
      <x:c r="A195" s="4" t="n">
        <x:v>34</x:v>
      </x:c>
      <x:c r="B195" s="4"/>
      <x:c r="C195" s="8" t="n">
        <x:v>2024</x:v>
      </x:c>
      <x:c r="D195" s="4" t="str">
        <x:v>Compra direta</x:v>
      </x:c>
      <x:c r="E195" s="6" t="str">
        <x:v>IMPRESSAO GRAFICA: 8 AdesivoS Vinil Instalado
71x101cm, 4x0 cores, Tinta digital em Vinil Fosco 100g.
Recorte laser.
</x:v>
      </x:c>
      <x:c r="F195" s="4" t="str">
        <x:v>Concluído</x:v>
      </x:c>
      <x:c r="G195" s="7" t="n">
        <x:v>838</x:v>
      </x:c>
      <x:c r="H195" s="7" t="n">
        <x:v>688.42</x:v>
      </x:c>
      <x:c r="I195" s="4" t="str">
        <x:v>GRAFICA CENTRAL EDITORA E DIGITAL LTDA</x:v>
      </x:c>
      <x:c r="J195" s="4"/>
    </x:row>
    <x:row r="196" ht="26.399999618530273" hidden="0" customHeight="1">
      <x:c r="A196" s="4" t="n">
        <x:v>23</x:v>
      </x:c>
      <x:c r="B196" s="4"/>
      <x:c r="C196" s="8" t="n">
        <x:v>2024</x:v>
      </x:c>
      <x:c r="D196" s="4" t="str">
        <x:v>Compra direta</x:v>
      </x:c>
      <x:c r="E196" s="6" t="str">
        <x:v>REFIL DE TINTA OU TONER PARA IMPRESSAO - IDENTIFICACAO: FRASCO DE TINTA;
IMPRESSORA: HP INK TANK/HP SMART TANK/HP DESKJET; CODIGO REFERENCIA: GT52/GT53;</x:v>
      </x:c>
      <x:c r="F196" s="4" t="str">
        <x:v>Concluído</x:v>
      </x:c>
      <x:c r="G196" s="7" t="n">
        <x:v>561.44</x:v>
      </x:c>
      <x:c r="H196" s="7" t="n">
        <x:v>542.4</x:v>
      </x:c>
      <x:c r="I196" s="4" t="str">
        <x:v>PORT DISTRIBUIDORA DE INFORMATICA E PAPELARIA LTDA</x:v>
      </x:c>
      <x:c r="J196" s="4"/>
    </x:row>
    <x:row r="197" ht="15" hidden="0" customHeight="1">
      <x:c r="A197" s="4" t="n">
        <x:v>18</x:v>
      </x:c>
      <x:c r="B197" s="4"/>
      <x:c r="C197" s="8" t="n">
        <x:v>2024</x:v>
      </x:c>
      <x:c r="D197" s="4" t="str">
        <x:v>Compra direta</x:v>
      </x:c>
      <x:c r="E197" s="6" t="str">
        <x:v>Conserto da máquina de café da copa do Plenário - Patrimônio 8260577-7</x:v>
      </x:c>
      <x:c r="F197" s="4" t="str">
        <x:v>Concluído</x:v>
      </x:c>
      <x:c r="G197" s="7" t="n">
        <x:v>830</x:v>
      </x:c>
      <x:c r="H197" s="7" t="n">
        <x:v>598</x:v>
      </x:c>
      <x:c r="I197" s="4" t="str">
        <x:v>MUNDYSERVICE COMERCIO DE PECAS E ASSISTENCIA TECNICA LTDA</x:v>
      </x:c>
      <x:c r="J197" s="4"/>
    </x:row>
    <x:row r="198" ht="26.399999618530273" hidden="0" customHeight="1">
      <x:c r="A198" s="4" t="n">
        <x:v>16</x:v>
      </x:c>
      <x:c r="B198" s="4"/>
      <x:c r="C198" s="8" t="n">
        <x:v>2024</x:v>
      </x:c>
      <x:c r="D198" s="4" t="str">
        <x:v>Compra direta</x:v>
      </x:c>
      <x:c r="E198" s="6" t="str">
        <x:v>conserto da máquina de café utilizada na copa do Ministério Público de Contas - patrimônio n. 82623775</x:v>
      </x:c>
      <x:c r="F198" s="4" t="str">
        <x:v>Concluído</x:v>
      </x:c>
      <x:c r="G198" s="7" t="n">
        <x:v>380</x:v>
      </x:c>
      <x:c r="H198" s="7" t="n">
        <x:v>289</x:v>
      </x:c>
      <x:c r="I198" s="4" t="str">
        <x:v>MUNDYSERVICE COMERCIO DE PECAS E ASSISTENCIA TECNICA LTDA</x:v>
      </x:c>
      <x:c r="J198" s="4"/>
    </x:row>
    <x:row r="199" ht="15" hidden="0" customHeight="1">
      <x:c r="A199" s="4" t="n">
        <x:v>15</x:v>
      </x:c>
      <x:c r="B199" s="4"/>
      <x:c r="C199" s="8" t="n">
        <x:v>2024</x:v>
      </x:c>
      <x:c r="D199" s="4" t="str">
        <x:v>Compra direta</x:v>
      </x:c>
      <x:c r="E199" s="6" t="str">
        <x:v>conserto de micro-ondas da copa do Térreo do Prédio Anexo</x:v>
      </x:c>
      <x:c r="F199" s="4" t="str">
        <x:v>Concluído</x:v>
      </x:c>
      <x:c r="G199" s="7" t="n">
        <x:v>224</x:v>
      </x:c>
      <x:c r="H199" s="7" t="n">
        <x:v>195</x:v>
      </x:c>
      <x:c r="I199" s="4" t="str">
        <x:v>OLIMAQ SERVICOS E COMERCIO LTDA -ME</x:v>
      </x:c>
      <x:c r="J199" s="4"/>
    </x:row>
    <x:row r="200" ht="15" hidden="0" customHeight="1">
      <x:c r="A200" s="4" t="n">
        <x:v>14</x:v>
      </x:c>
      <x:c r="B200" s="4"/>
      <x:c r="C200" s="8" t="n">
        <x:v>2024</x:v>
      </x:c>
      <x:c r="D200" s="4" t="str">
        <x:v>Compra direta</x:v>
      </x:c>
      <x:c r="E200" s="6" t="str">
        <x:v>Conforme processo instruído no GDFISC.</x:v>
      </x:c>
      <x:c r="F200" s="4" t="str">
        <x:v>Concluído</x:v>
      </x:c>
      <x:c r="G200" s="7" t="n">
        <x:v>2000</x:v>
      </x:c>
      <x:c r="H200" s="7" t="n">
        <x:v>2000</x:v>
      </x:c>
      <x:c r="I200" s="4" t="str">
        <x:v>EQUIPE EDITORA, CURSOS E CONSULTORIA LTDA.</x:v>
      </x:c>
      <x:c r="J200" s="4"/>
    </x:row>
    <x:row r="201" ht="15" hidden="0" customHeight="1">
      <x:c r="A201" s="4" t="n">
        <x:v>13</x:v>
      </x:c>
      <x:c r="B201" s="4"/>
      <x:c r="C201" s="8" t="n">
        <x:v>2024</x:v>
      </x:c>
      <x:c r="D201" s="4" t="str">
        <x:v>Compra direta</x:v>
      </x:c>
      <x:c r="E201" s="6" t="str">
        <x:v>Manutenção e recarga de extintores</x:v>
      </x:c>
      <x:c r="F201" s="4" t="str">
        <x:v>Concluído</x:v>
      </x:c>
      <x:c r="G201" s="7" t="n">
        <x:v>11681</x:v>
      </x:c>
      <x:c r="H201" s="7" t="n">
        <x:v>9481</x:v>
      </x:c>
      <x:c r="I201" s="4" t="str">
        <x:v>BRASIL EQUIPAMENTOS CONTRA INCENDIO LTDA -ME</x:v>
      </x:c>
      <x:c r="J201" s="4"/>
    </x:row>
    <x:row r="202" ht="26.399999618530273" hidden="0" customHeight="1">
      <x:c r="A202" s="4" t="n">
        <x:v>11</x:v>
      </x:c>
      <x:c r="B202" s="4"/>
      <x:c r="C202" s="8" t="n">
        <x:v>2024</x:v>
      </x:c>
      <x:c r="D202" s="4" t="str">
        <x:v>Compra direta</x:v>
      </x:c>
      <x:c r="E202" s="6" t="str">
        <x:v>Prestação de serviços de traslado do aeroporto de Montes Claros à cidade de Janaúba e vice-versa.</x:v>
      </x:c>
      <x:c r="F202" s="4" t="str">
        <x:v>Concluído</x:v>
      </x:c>
      <x:c r="G202" s="7" t="n">
        <x:v>2600</x:v>
      </x:c>
      <x:c r="H202" s="7" t="n">
        <x:v>2600</x:v>
      </x:c>
      <x:c r="I202" s="4" t="str">
        <x:v>STAR TURISMO LTDA</x:v>
      </x:c>
      <x:c r="J202" s="4"/>
    </x:row>
    <x:row r="203" ht="15" hidden="0" customHeight="1">
      <x:c r="A203" s="4" t="n">
        <x:v>10</x:v>
      </x:c>
      <x:c r="B203" s="4"/>
      <x:c r="C203" s="8" t="n">
        <x:v>2024</x:v>
      </x:c>
      <x:c r="D203" s="4" t="str">
        <x:v>Compra direta</x:v>
      </x:c>
      <x:c r="E203" s="6" t="str">
        <x:v>Aquisição do medicamento Feldene Sublingual</x:v>
      </x:c>
      <x:c r="F203" s="4" t="str">
        <x:v>Concluído</x:v>
      </x:c>
      <x:c r="G203" s="7" t="n">
        <x:v>1139.6</x:v>
      </x:c>
      <x:c r="H203" s="7" t="n">
        <x:v>1062.6</x:v>
      </x:c>
      <x:c r="I203" s="4" t="str">
        <x:v>DROGARIA GAVEA LTDA -EPP</x:v>
      </x:c>
      <x:c r="J203" s="4"/>
    </x:row>
    <x:row r="204" ht="15" hidden="0" customHeight="1">
      <x:c r="A204" s="4" t="n">
        <x:v>8</x:v>
      </x:c>
      <x:c r="B204" s="4" t="str">
        <x:v>9412599</x:v>
      </x:c>
      <x:c r="C204" s="8" t="n">
        <x:v>2024</x:v>
      </x:c>
      <x:c r="D204" s="4" t="str">
        <x:v>Compra direta</x:v>
      </x:c>
      <x:c r="E204" s="6" t="str">
        <x:v>Prestação de serviços de suporte técnico ao software Moodle.</x:v>
      </x:c>
      <x:c r="F204" s="4" t="str">
        <x:v>Concluído</x:v>
      </x:c>
      <x:c r="G204" s="7" t="n">
        <x:v>23040</x:v>
      </x:c>
      <x:c r="H204" s="7" t="n">
        <x:v>17280</x:v>
      </x:c>
      <x:c r="I204" s="4" t="str">
        <x:v>MIGUEL DO PRADO URTADO LTDA</x:v>
      </x:c>
      <x:c r="J204" s="4"/>
    </x:row>
    <x:row r="205" ht="15" hidden="0" customHeight="1">
      <x:c r="A205" s="4" t="n">
        <x:v>6</x:v>
      </x:c>
      <x:c r="B205" s="4"/>
      <x:c r="C205" s="8" t="n">
        <x:v>2024</x:v>
      </x:c>
      <x:c r="D205" s="4" t="str">
        <x:v>Compra direta</x:v>
      </x:c>
      <x:c r="E205" s="6" t="str">
        <x:v>Inscrição no 19º CONGRESSO BRASILEIRO DE PREGOEIROS</x:v>
      </x:c>
      <x:c r="F205" s="4" t="str">
        <x:v>Concluído</x:v>
      </x:c>
      <x:c r="G205" s="7" t="n">
        <x:v>9800</x:v>
      </x:c>
      <x:c r="H205" s="7" t="n">
        <x:v>9800</x:v>
      </x:c>
      <x:c r="I205" s="4" t="str">
        <x:v>INSTITUTO NEGOCIOS PUBLICOS DO BRASIL - ESTUDOS E PESQUISAS NA ADMNIISTRACAO PUBLICA - INP - LTDA</x:v>
      </x:c>
      <x:c r="J205" s="4"/>
    </x:row>
    <x:row r="206" ht="15" hidden="0" customHeight="1">
      <x:c r="A206" s="4" t="n">
        <x:v>240</x:v>
      </x:c>
      <x:c r="B206" s="4"/>
      <x:c r="C206" s="8" t="n">
        <x:v>2023</x:v>
      </x:c>
      <x:c r="D206" s="4" t="str">
        <x:v>Compra direta</x:v>
      </x:c>
      <x:c r="E206" s="6" t="str">
        <x:v>Aquisição de softwares (SEI 23.0.000004284-6)</x:v>
      </x:c>
      <x:c r="F206" s="4" t="str">
        <x:v>Concluído</x:v>
      </x:c>
      <x:c r="G206" s="7" t="n">
        <x:v>16890</x:v>
      </x:c>
      <x:c r="H206" s="7" t="n">
        <x:v>16890</x:v>
      </x:c>
      <x:c r="I206" s="4" t="str">
        <x:v>BRASOFTWARE INFORMATICA LTDA</x:v>
      </x:c>
      <x:c r="J206" s="4"/>
    </x:row>
    <x:row r="207" ht="15" hidden="0" customHeight="1">
      <x:c r="A207" s="4" t="n">
        <x:v>240</x:v>
      </x:c>
      <x:c r="B207" s="4"/>
      <x:c r="C207" s="8" t="n">
        <x:v>2023</x:v>
      </x:c>
      <x:c r="D207" s="4" t="str">
        <x:v>Compra direta</x:v>
      </x:c>
      <x:c r="E207" s="6" t="str">
        <x:v>Aquisição de softwares (SEI 23.0.000004284-6)</x:v>
      </x:c>
      <x:c r="F207" s="4" t="str">
        <x:v>Concluído</x:v>
      </x:c>
      <x:c r="G207" s="7" t="n">
        <x:v>15340</x:v>
      </x:c>
      <x:c r="H207" s="7" t="n">
        <x:v>13810</x:v>
      </x:c>
      <x:c r="I207" s="4" t="str">
        <x:v>SOFTWARE.COM.BR TECNOLOGIA E CONSULTORIA LTDA.</x:v>
      </x:c>
      <x:c r="J207" s="4"/>
    </x:row>
    <x:row r="208" ht="15" hidden="0" customHeight="1">
      <x:c r="A208" s="4" t="n">
        <x:v>239</x:v>
      </x:c>
      <x:c r="B208" s="4"/>
      <x:c r="C208" s="8" t="n">
        <x:v>2023</x:v>
      </x:c>
      <x:c r="D208" s="4" t="str">
        <x:v>Compra direta</x:v>
      </x:c>
      <x:c r="E208" s="6" t="str">
        <x:v>SUBSCRICAO DE LICENCA DE SOFTWARE CANVA PRO, ULTIMA VERSAO</x:v>
      </x:c>
      <x:c r="F208" s="4" t="str">
        <x:v>Concluído</x:v>
      </x:c>
      <x:c r="G208" s="7" t="n">
        <x:v>3500</x:v>
      </x:c>
      <x:c r="H208" s="7" t="n">
        <x:v>3500</x:v>
      </x:c>
      <x:c r="I208" s="4" t="str">
        <x:v>L3 INFORMATICA LTDA</x:v>
      </x:c>
      <x:c r="J208" s="4"/>
    </x:row>
    <x:row r="209" ht="39.599998474121094" hidden="0" customHeight="1">
      <x:c r="A209" s="4" t="n">
        <x:v>231</x:v>
      </x:c>
      <x:c r="B209" s="4"/>
      <x:c r="C209" s="8" t="n">
        <x:v>2023</x:v>
      </x:c>
      <x:c r="D209" s="4" t="str">
        <x:v>Compra direta</x:v>
      </x:c>
      <x:c r="E209" s="6" t="str">
        <x:v>Prestação de serviços de reparo/conserto de 1 (um) frigobar, da marca Electrolux, modelo RE80, patrimônio nº 8262007-5.
SEI 23.0.000005754-1</x:v>
      </x:c>
      <x:c r="F209" s="4" t="str">
        <x:v>Concluído</x:v>
      </x:c>
      <x:c r="G209" s="7" t="n">
        <x:v>599</x:v>
      </x:c>
      <x:c r="H209" s="7" t="n">
        <x:v>590</x:v>
      </x:c>
      <x:c r="I209" s="4" t="str">
        <x:v>OLIMAQ SERVICOS E COMERCIO LTDA -ME</x:v>
      </x:c>
      <x:c r="J209" s="4"/>
    </x:row>
    <x:row r="210" ht="39.599998474121094" hidden="0" customHeight="1">
      <x:c r="A210" s="4" t="n">
        <x:v>220</x:v>
      </x:c>
      <x:c r="B210" s="4"/>
      <x:c r="C210" s="8" t="n">
        <x:v>2023</x:v>
      </x:c>
      <x:c r="D210" s="4" t="str">
        <x:v>Compra direta</x:v>
      </x:c>
      <x:c r="E210" s="6" t="str">
        <x:v>Aquisição de placas personalizadas, confeccionadas em aço inox prata com corte especial a laser, tamanho 16x12cm. Gravação por foto corrosão alto/baixo relevo. Acondicionada em estojo de veludo preto</x:v>
      </x:c>
      <x:c r="F210" s="4" t="str">
        <x:v>Concluído</x:v>
      </x:c>
      <x:c r="G210" s="7" t="n">
        <x:v>2200</x:v>
      </x:c>
      <x:c r="H210" s="7" t="n">
        <x:v>1600</x:v>
      </x:c>
      <x:c r="I210" s="4" t="str">
        <x:v>MARCO PLACAS INDUSTRIA E COMERCIO LTDA -EPP</x:v>
      </x:c>
      <x:c r="J210" s="4"/>
    </x:row>
    <x:row r="211" ht="26.399999618530273" hidden="0" customHeight="1">
      <x:c r="A211" s="4" t="n">
        <x:v>211</x:v>
      </x:c>
      <x:c r="B211" s="4"/>
      <x:c r="C211" s="8" t="n">
        <x:v>2023</x:v>
      </x:c>
      <x:c r="D211" s="4" t="str">
        <x:v>Compra direta</x:v>
      </x:c>
      <x:c r="E211" s="6" t="str">
        <x:v>Locação de duas estruturas para backdrop (Box Truss), incluindo os serviços de montagem e desmontagem de toda a estrutura.</x:v>
      </x:c>
      <x:c r="F211" s="4" t="str">
        <x:v>Concluído</x:v>
      </x:c>
      <x:c r="G211" s="7" t="n">
        <x:v>5820</x:v>
      </x:c>
      <x:c r="H211" s="7" t="n">
        <x:v>2920</x:v>
      </x:c>
      <x:c r="I211" s="4" t="str">
        <x:v>PLOTACAD IMPRESSAO DIGITAL LTDA - ME</x:v>
      </x:c>
      <x:c r="J211" s="4"/>
    </x:row>
  </x:sheetData>
  <x:pageMargins left="0.7" right="0.7" top="0.75" bottom="0.75" header="0.3" footer="0.3"/>
  <x:tableParts count="1">
    <x:tablePart xmlns:r="http://schemas.openxmlformats.org/officeDocument/2006/relationships" r:id="R4ec34b8729d4406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72" hidden="0" customWidth="1"/>
    <x:col min="3" max="3" width="4" hidden="0" customWidth="1"/>
    <x:col min="4" max="4" width="13" hidden="0" customWidth="1"/>
    <x:col min="5" max="5" width="15" hidden="0" customWidth="1"/>
  </x:cols>
  <x:sheetData>
    <x:row r="1" ht="34" customHeight="1">
      <x:c r="A1" s="11" t="str">
        <x:v>Catálogo — Compras diretas do TCE-MG</x:v>
      </x:c>
      <x:c r="B1" s="11" t="str">
        <x:v>Catálogo — Compras diretas do TCE-MG</x:v>
      </x:c>
      <x:c r="C1" s="11" t="str">
        <x:v>Catálogo — Compras diretas do TCE-MG</x:v>
      </x:c>
      <x:c r="D1" s="11" t="str">
        <x:v>Catálogo — Compras diretas do TCE-MG</x:v>
      </x:c>
      <x:c r="E1" s="11" t="str">
        <x:v>Catálogo — Compras diretas do TCE-MG</x:v>
      </x:c>
      <x:c r="F1" s="11" t="str">
        <x:v>Catálogo — Compras diretas do TCE-MG</x:v>
      </x:c>
    </x:row>
    <x:row r="3" ht="24" customHeight="1">
      <x:c r="A3" s="14" t="str">
        <x:v>Fonte da pesquisa</x:v>
      </x:c>
      <x:c r="B3" s="15" t="str">
        <x:v>SIAD</x:v>
      </x:c>
      <x:c r="D3" s="14" t="str">
        <x:v>Ano</x:v>
      </x:c>
      <x:c r="E3" s="20" t="str">
        <x:v>Quantidade</x:v>
      </x:c>
    </x:row>
    <x:row r="4" ht="24" customHeight="1">
      <x:c r="A4" s="16" t="str">
        <x:v>Lei</x:v>
      </x:c>
      <x:c r="B4" s="17" t="str">
        <x:v>Lei 14.133/21</x:v>
      </x:c>
      <x:c r="D4" s="21" t="n">
        <x:v>2023</x:v>
      </x:c>
      <x:c r="E4" s="17" t="n">
        <x:f>COUNTIF('Processos'!$C$2:$C$211,D4)</x:f>
        <x:v>6</x:v>
      </x:c>
    </x:row>
    <x:row r="5" ht="24" customHeight="1">
      <x:c r="A5" s="16" t="str">
        <x:v>Tipo de procedimento</x:v>
      </x:c>
      <x:c r="B5" s="17" t="str">
        <x:v>Compra direta</x:v>
      </x:c>
      <x:c r="D5" s="21" t="n">
        <x:v>2024</x:v>
      </x:c>
      <x:c r="E5" s="17" t="n">
        <x:f>COUNTIF('Processos'!$C$2:$C$211,D5)</x:f>
        <x:v>58</x:v>
      </x:c>
    </x:row>
    <x:row r="6" ht="24" customHeight="1">
      <x:c r="A6" s="16" t="str">
        <x:v>Ano da licitação</x:v>
      </x:c>
      <x:c r="B6" s="17" t="str">
        <x:v>Todos</x:v>
      </x:c>
      <x:c r="D6" s="21" t="n">
        <x:v>2025</x:v>
      </x:c>
      <x:c r="E6" s="17" t="n">
        <x:f>COUNTIF('Processos'!$C$2:$C$211,D6)</x:f>
        <x:v>67</x:v>
      </x:c>
    </x:row>
    <x:row r="7" ht="24" customHeight="1">
      <x:c r="A7" s="16" t="str">
        <x:v>Situação</x:v>
      </x:c>
      <x:c r="B7" s="17" t="str">
        <x:v>TODAS</x:v>
      </x:c>
      <x:c r="D7" s="22" t="n">
        <x:v>2026</x:v>
      </x:c>
      <x:c r="E7" s="19" t="n">
        <x:f>COUNTIF('Processos'!$C$2:$C$211,D7)</x:f>
        <x:v>79</x:v>
      </x:c>
    </x:row>
    <x:row r="8" ht="24" customHeight="1">
      <x:c r="A8" s="16" t="str">
        <x:v>Total de processos</x:v>
      </x:c>
      <x:c r="B8" s="17" t="n">
        <x:f>COUNTA('Processos'!A2:A211)</x:f>
        <x:v>210</x:v>
      </x:c>
    </x:row>
    <x:row r="9" ht="24" customHeight="1">
      <x:c r="A9" s="16" t="str">
        <x:v>Data da coleta</x:v>
      </x:c>
      <x:c r="B9" s="17" t="str">
        <x:v>2026-08-09</x:v>
      </x:c>
    </x:row>
    <x:row r="10" ht="24" customHeight="1">
      <x:c r="A10" s="18" t="str">
        <x:v>URL oficial</x:v>
      </x:c>
      <x:c r="B10" s="23" t="str">
        <x:v>https://transparencia.tce.mg.gov.br/public/licitacoes</x:v>
      </x:c>
    </x:row>
    <x:row r="11" ht="24" customHeight="1"/>
    <x:row r="12" ht="24" customHeight="1">
      <x:c r="A12" s="27" t="str">
        <x:v>Nota de rastreabilidade: os dados acima foram exportados da interface oficial com os filtros indicados. O artigo específico da Lei 14.133/21 e os documentos de cada processo não constam desta exportação e dependem de consulta individual no Compras MG.</x:v>
      </x:c>
      <x:c r="B12" s="27"/>
      <x:c r="C12" s="27"/>
      <x:c r="D12" s="27"/>
      <x:c r="E12" s="27"/>
      <x:c r="F12" s="27"/>
    </x:row>
    <x:row r="13" ht="24" customHeight="1">
      <x:c r="A13" s="27"/>
      <x:c r="B13" s="27"/>
      <x:c r="C13" s="27"/>
      <x:c r="D13" s="27"/>
      <x:c r="E13" s="27"/>
      <x:c r="F13" s="27"/>
    </x:row>
    <x:row r="14" ht="24" customHeight="1">
      <x:c r="A14" s="27"/>
      <x:c r="B14" s="27"/>
      <x:c r="C14" s="27"/>
      <x:c r="D14" s="27"/>
      <x:c r="E14" s="27"/>
      <x:c r="F14" s="27"/>
    </x:row>
  </x:sheetData>
  <x:mergeCells>
    <x:mergeCell ref="A1:F1"/>
    <x:mergeCell ref="A12:F14"/>
  </x:mergeCells>
  <x:pageMargins left="0.7" right="0.7" top="0.75" bottom="0.75" header="0.3" footer="0.3"/>
</x:worksheet>
</file>